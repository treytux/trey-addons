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icelist" sheetId="1" state="visible" r:id="rId2"/>
    <sheet name="Pricat Completo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<sst xmlns="http://schemas.openxmlformats.org/spreadsheetml/2006/main" count="131" uniqueCount="100">
  <si>
    <t xml:space="preserve">M3StyleID</t>
  </si>
  <si>
    <t xml:space="preserve">Style Name</t>
  </si>
  <si>
    <t xml:space="preserve">Cubes Family</t>
  </si>
  <si>
    <t xml:space="preserve">Reporting Family</t>
  </si>
  <si>
    <t xml:space="preserve">Catalog Category</t>
  </si>
  <si>
    <t xml:space="preserve">GENDER</t>
  </si>
  <si>
    <t xml:space="preserve">Item Code</t>
  </si>
  <si>
    <t xml:space="preserve">Width Code</t>
  </si>
  <si>
    <t xml:space="preserve">Colour Code</t>
  </si>
  <si>
    <t xml:space="preserve">Colourway</t>
  </si>
  <si>
    <t xml:space="preserve">New / New Colour / Carry Over</t>
  </si>
  <si>
    <t xml:space="preserve">Intro Date EMEA</t>
  </si>
  <si>
    <t xml:space="preserve">End Date EMEA</t>
  </si>
  <si>
    <t xml:space="preserve">Class</t>
  </si>
  <si>
    <t xml:space="preserve">Flag</t>
  </si>
  <si>
    <t xml:space="preserve">Flag - Comment</t>
  </si>
  <si>
    <t xml:space="preserve">Season</t>
  </si>
  <si>
    <t xml:space="preserve">Size Range</t>
  </si>
  <si>
    <t xml:space="preserve">RRP €</t>
  </si>
  <si>
    <t xml:space="preserve">WS €</t>
  </si>
  <si>
    <t xml:space="preserve">RRP CHF</t>
  </si>
  <si>
    <t xml:space="preserve">WS CHF</t>
  </si>
  <si>
    <t xml:space="preserve">RRP GBP</t>
  </si>
  <si>
    <t xml:space="preserve">WS GBP</t>
  </si>
  <si>
    <t xml:space="preserve"> RRP SEK</t>
  </si>
  <si>
    <t xml:space="preserve"> WS SEK</t>
  </si>
  <si>
    <t xml:space="preserve"> RRP NOK</t>
  </si>
  <si>
    <t xml:space="preserve"> WS NOK</t>
  </si>
  <si>
    <t xml:space="preserve"> RRP DKK</t>
  </si>
  <si>
    <t xml:space="preserve"> WS DKK</t>
  </si>
  <si>
    <t xml:space="preserve">1103651B020</t>
  </si>
  <si>
    <t xml:space="preserve">Addiction GTS 15</t>
  </si>
  <si>
    <t xml:space="preserve">ADDICTION GTS</t>
  </si>
  <si>
    <t xml:space="preserve">SUPPORTIVE CUSHION</t>
  </si>
  <si>
    <t xml:space="preserve">mens</t>
  </si>
  <si>
    <t xml:space="preserve">110365</t>
  </si>
  <si>
    <t xml:space="preserve">1B</t>
  </si>
  <si>
    <t xml:space="preserve">020</t>
  </si>
  <si>
    <t xml:space="preserve">020 Black/Black/Ebony</t>
  </si>
  <si>
    <t xml:space="preserve">Carry Over</t>
  </si>
  <si>
    <t xml:space="preserve">1/6/2025</t>
  </si>
  <si>
    <t xml:space="preserve">1/1/2026</t>
  </si>
  <si>
    <t xml:space="preserve">Inline</t>
  </si>
  <si>
    <t xml:space="preserve">F2025</t>
  </si>
  <si>
    <t xml:space="preserve">7-13, 14, 15, 16</t>
  </si>
  <si>
    <t xml:space="preserve"> 140.00 € </t>
  </si>
  <si>
    <t xml:space="preserve"> 70.00 € </t>
  </si>
  <si>
    <t xml:space="preserve"> 200.00 CHF </t>
  </si>
  <si>
    <t xml:space="preserve"> 100.00 CHF </t>
  </si>
  <si>
    <t xml:space="preserve"> £120.00 </t>
  </si>
  <si>
    <t xml:space="preserve"> £60.00 </t>
  </si>
  <si>
    <t xml:space="preserve"> 1,800.00 SEK </t>
  </si>
  <si>
    <t xml:space="preserve"> 900.00 SEK </t>
  </si>
  <si>
    <t xml:space="preserve"> 1,800.00 NOK </t>
  </si>
  <si>
    <t xml:space="preserve"> 900.00 NOK </t>
  </si>
  <si>
    <t xml:space="preserve"> 1,400.00 DKK </t>
  </si>
  <si>
    <t xml:space="preserve"> 700.00 DKK </t>
  </si>
  <si>
    <t xml:space="preserve">1103651D020</t>
  </si>
  <si>
    <t xml:space="preserve">1D</t>
  </si>
  <si>
    <t xml:space="preserve">Style/Color</t>
  </si>
  <si>
    <t xml:space="preserve">Supplier</t>
  </si>
  <si>
    <t xml:space="preserve">Item number</t>
  </si>
  <si>
    <t xml:space="preserve">Style</t>
  </si>
  <si>
    <t xml:space="preserve">Item Description</t>
  </si>
  <si>
    <t xml:space="preserve">Color</t>
  </si>
  <si>
    <t xml:space="preserve">Size</t>
  </si>
  <si>
    <t xml:space="preserve">Size EU</t>
  </si>
  <si>
    <t xml:space="preserve">Gender</t>
  </si>
  <si>
    <t xml:space="preserve">Business Line</t>
  </si>
  <si>
    <t xml:space="preserve">EAN</t>
  </si>
  <si>
    <t xml:space="preserve">UPC</t>
  </si>
  <si>
    <t xml:space="preserve">HTS_CODE</t>
  </si>
  <si>
    <t xml:space="preserve">FEDAS</t>
  </si>
  <si>
    <t xml:space="preserve">Country of origin</t>
  </si>
  <si>
    <t xml:space="preserve">Precio PVP</t>
  </si>
  <si>
    <t xml:space="preserve">Precio Coste</t>
  </si>
  <si>
    <t xml:space="preserve">Gross wt (lbs)</t>
  </si>
  <si>
    <t xml:space="preserve">Gross wt (kg)</t>
  </si>
  <si>
    <t xml:space="preserve">Net weight (lbs)</t>
  </si>
  <si>
    <t xml:space="preserve">Net wt (kg)</t>
  </si>
  <si>
    <t xml:space="preserve">Volume (inch³)</t>
  </si>
  <si>
    <t xml:space="preserve">Volume (cm³)</t>
  </si>
  <si>
    <t xml:space="preserve">1000491D681</t>
  </si>
  <si>
    <t xml:space="preserve">1000491D681.050</t>
  </si>
  <si>
    <t xml:space="preserve">100049</t>
  </si>
  <si>
    <t xml:space="preserve">Hyperion Elite 5</t>
  </si>
  <si>
    <t xml:space="preserve">Pink Clay/Atomizer Blue</t>
  </si>
  <si>
    <t xml:space="preserve">5.0</t>
  </si>
  <si>
    <t xml:space="preserve">Unisex</t>
  </si>
  <si>
    <t xml:space="preserve">FTW</t>
  </si>
  <si>
    <t xml:space="preserve">195394690217</t>
  </si>
  <si>
    <t xml:space="preserve">64041100000</t>
  </si>
  <si>
    <t xml:space="preserve">VN</t>
  </si>
  <si>
    <t xml:space="preserve">1204261B020</t>
  </si>
  <si>
    <t xml:space="preserve">1204261B020.050</t>
  </si>
  <si>
    <t xml:space="preserve">120426</t>
  </si>
  <si>
    <t xml:space="preserve">Adrenaline GTS 24</t>
  </si>
  <si>
    <t xml:space="preserve">Black/Black/Ebony</t>
  </si>
  <si>
    <t xml:space="preserve">Womens</t>
  </si>
  <si>
    <t xml:space="preserve">195394534245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</si>
</sst>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_-* #,##0.00&quot; €&quot;_-;\-* #,##0.00&quot; €&quot;_-;_-* \-??&quot; €&quot;_-;_-@"/>
    <numFmt numFmtId="167" formatCode="######0.000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208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F11" activeCellId="0" sqref="F11"/>
    </sheetView>
  </sheetViews>
  <sheetFormatPr defaultColWidth="8.55859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2.8" hidden="false" customHeight="false" outlineLevel="0" collapsed="false">
      <c r="A2" s="1" t="s">
        <v>30</v>
      </c>
      <c r="B2" s="1" t="s">
        <v>31</v>
      </c>
      <c r="C2" s="1" t="s">
        <v>32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O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56</v>
      </c>
    </row>
    <row r="3" customFormat="false" ht="15" hidden="false" customHeight="false" outlineLevel="0" collapsed="false">
      <c r="A3" s="1" t="s">
        <v>57</v>
      </c>
      <c r="B3" s="1" t="s">
        <v>31</v>
      </c>
      <c r="C3" s="1" t="s">
        <v>32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58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O3" s="1" t="s">
        <v>42</v>
      </c>
      <c r="Q3" s="1" t="s">
        <v>43</v>
      </c>
      <c r="R3" s="1" t="s">
        <v>44</v>
      </c>
      <c r="S3" s="1" t="s">
        <v>45</v>
      </c>
      <c r="T3" s="1" t="s">
        <v>46</v>
      </c>
      <c r="U3" s="1" t="s">
        <v>47</v>
      </c>
      <c r="V3" s="1" t="s">
        <v>48</v>
      </c>
      <c r="W3" s="1" t="s">
        <v>49</v>
      </c>
      <c r="X3" s="1" t="s">
        <v>50</v>
      </c>
      <c r="Y3" s="1" t="s">
        <v>51</v>
      </c>
      <c r="Z3" s="1" t="s">
        <v>52</v>
      </c>
      <c r="AA3" s="1" t="s">
        <v>53</v>
      </c>
      <c r="AB3" s="1" t="s">
        <v>54</v>
      </c>
      <c r="AC3" s="1" t="s">
        <v>55</v>
      </c>
      <c r="AD3" s="1" t="s">
        <v>56</v>
      </c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O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O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O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O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O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O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O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O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O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O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O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O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O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O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O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O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O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O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O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O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O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O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O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O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O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O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O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O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O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O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O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O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O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O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O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O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O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O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O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O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O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O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O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O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O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O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O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O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O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O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O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O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O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O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O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O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O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O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O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O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O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O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O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O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O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O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O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O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O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O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O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O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O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O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O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O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O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O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O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O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O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O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O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O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O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O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O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O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O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O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O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O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O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O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O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O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O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O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O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O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O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O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O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O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O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O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O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O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O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O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O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O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O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O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O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O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O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O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O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O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O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O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O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O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O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O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O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O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O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O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O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O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O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O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O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O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O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O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O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O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O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O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O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O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O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O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O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O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O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O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O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O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O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O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O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O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O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O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O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O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O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O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O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O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O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O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O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O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O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O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O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O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O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O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O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O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O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O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O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O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O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O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O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O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O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O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O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O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O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O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O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O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O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O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O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O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O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O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O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55859375" defaultRowHeight="12.8" zeroHeight="false" outlineLevelRow="0" outlineLevelCol="0"/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false" outlineLevel="0" collapsed="false">
      <c r="A2" s="1" t="s">
        <v>59</v>
      </c>
      <c r="B2" s="1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  <c r="K2" s="1" t="s">
        <v>69</v>
      </c>
      <c r="L2" s="1" t="s">
        <v>70</v>
      </c>
      <c r="M2" s="1" t="s">
        <v>71</v>
      </c>
      <c r="N2" s="1" t="s">
        <v>72</v>
      </c>
      <c r="O2" s="1" t="s">
        <v>73</v>
      </c>
      <c r="P2" s="1" t="s">
        <v>74</v>
      </c>
      <c r="Q2" s="1" t="s">
        <v>75</v>
      </c>
      <c r="R2" s="1" t="s">
        <v>76</v>
      </c>
      <c r="S2" s="1" t="s">
        <v>77</v>
      </c>
      <c r="T2" s="1" t="s">
        <v>78</v>
      </c>
      <c r="U2" s="1" t="s">
        <v>79</v>
      </c>
      <c r="V2" s="1" t="s">
        <v>80</v>
      </c>
      <c r="W2" s="1" t="s">
        <v>81</v>
      </c>
    </row>
    <row r="3" customFormat="false" ht="12.75" hidden="false" customHeight="true" outlineLevel="0" collapsed="false">
      <c r="A3" s="2" t="s">
        <v>82</v>
      </c>
      <c r="B3" s="2" t="n">
        <v>8469</v>
      </c>
      <c r="C3" s="2" t="s">
        <v>83</v>
      </c>
      <c r="D3" s="3" t="s">
        <v>84</v>
      </c>
      <c r="E3" s="4" t="s">
        <v>85</v>
      </c>
      <c r="F3" s="4" t="s">
        <v>86</v>
      </c>
      <c r="G3" s="4" t="s">
        <v>87</v>
      </c>
      <c r="H3" s="5" t="n">
        <v>37.5</v>
      </c>
      <c r="I3" s="4" t="s">
        <v>88</v>
      </c>
      <c r="J3" s="4" t="s">
        <v>89</v>
      </c>
      <c r="K3" s="2"/>
      <c r="L3" s="2" t="s">
        <v>90</v>
      </c>
      <c r="M3" s="2" t="s">
        <v>91</v>
      </c>
      <c r="N3" s="2"/>
      <c r="O3" s="5" t="s">
        <v>92</v>
      </c>
      <c r="P3" s="6" t="e">
        <f aca="false">VLOOKUP(A3,,19,FALSE())</f>
        <v>#VALUE!</v>
      </c>
      <c r="Q3" s="6" t="e">
        <f aca="false">VLOOKUP(A3,,20,FALSE())</f>
        <v>#VALUE!</v>
      </c>
      <c r="R3" s="7" t="n">
        <v>1.04</v>
      </c>
      <c r="S3" s="8" t="n">
        <f aca="false">R3*0.45359237</f>
        <v>0.4717360648</v>
      </c>
      <c r="T3" s="7" t="n">
        <v>0.59</v>
      </c>
      <c r="U3" s="8" t="n">
        <f aca="false">T3*0.45359237</f>
        <v>0.2676194983</v>
      </c>
      <c r="V3" s="7" t="n">
        <v>0.198</v>
      </c>
      <c r="W3" s="8" t="n">
        <f aca="false">V3*16.3871</f>
        <v>3.2446458</v>
      </c>
    </row>
    <row r="4" customFormat="false" ht="12.75" hidden="false" customHeight="true" outlineLevel="0" collapsed="false">
      <c r="A4" s="2" t="s">
        <v>93</v>
      </c>
      <c r="B4" s="2" t="n">
        <v>12829</v>
      </c>
      <c r="C4" s="2" t="s">
        <v>94</v>
      </c>
      <c r="D4" s="3" t="s">
        <v>95</v>
      </c>
      <c r="E4" s="4" t="s">
        <v>96</v>
      </c>
      <c r="F4" s="4" t="s">
        <v>97</v>
      </c>
      <c r="G4" s="4" t="s">
        <v>87</v>
      </c>
      <c r="H4" s="4" t="n">
        <v>35.5</v>
      </c>
      <c r="I4" s="4" t="s">
        <v>98</v>
      </c>
      <c r="J4" s="4" t="s">
        <v>89</v>
      </c>
      <c r="K4" s="2" t="str">
        <f aca="false">0&amp;L4</f>
        <v>0195394534245</v>
      </c>
      <c r="L4" s="2" t="s">
        <v>99</v>
      </c>
      <c r="M4" s="2" t="s">
        <v>91</v>
      </c>
      <c r="N4" s="2" t="n">
        <v>346062</v>
      </c>
      <c r="O4" s="5" t="s">
        <v>92</v>
      </c>
      <c r="P4" s="6" t="e">
        <f aca="false">VLOOKUP(A4,,19,FALSE())</f>
        <v>#VALUE!</v>
      </c>
      <c r="Q4" s="6" t="e">
        <f aca="false">VLOOKUP(A4,,20,FALSE())</f>
        <v>#VALUE!</v>
      </c>
      <c r="R4" s="7" t="n">
        <v>1.155</v>
      </c>
      <c r="S4" s="8" t="n">
        <f aca="false">R4*0.45359237</f>
        <v>0.52389918735</v>
      </c>
      <c r="T4" s="7" t="n">
        <v>0.705</v>
      </c>
      <c r="U4" s="8" t="n">
        <f aca="false">T4*0.45359237</f>
        <v>0.31978262085</v>
      </c>
      <c r="V4" s="7" t="n">
        <v>0.174</v>
      </c>
      <c r="W4" s="8" t="n">
        <f aca="false">V4*16.3871</f>
        <v>2.8513554</v>
      </c>
    </row>
    <row r="5" customFormat="false" ht="14.15" hidden="false" customHeight="true" outlineLevel="0" collapsed="false"/>
    <row r="6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2025-05-29T12:33:53Z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