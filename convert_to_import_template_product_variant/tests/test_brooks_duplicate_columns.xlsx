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icelist" sheetId="1" state="visible" r:id="rId2"/>
    <sheet name="Pricat Completo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<sst xmlns="http://schemas.openxmlformats.org/spreadsheetml/2006/main" count="147" uniqueCount="111">
  <si>
    <t xml:space="preserve">M3StyleID</t>
  </si>
  <si>
    <t xml:space="preserve">Style Name</t>
  </si>
  <si>
    <t xml:space="preserve">Cubes Family</t>
  </si>
  <si>
    <t xml:space="preserve">Reporting Family</t>
  </si>
  <si>
    <t xml:space="preserve">Catalog Category</t>
  </si>
  <si>
    <t xml:space="preserve">GENDER</t>
  </si>
  <si>
    <t xml:space="preserve">Item Code</t>
  </si>
  <si>
    <t xml:space="preserve">Width Code</t>
  </si>
  <si>
    <t xml:space="preserve">Colour Code</t>
  </si>
  <si>
    <t xml:space="preserve">Colourway</t>
  </si>
  <si>
    <t xml:space="preserve">New / New Colour / Carry Over</t>
  </si>
  <si>
    <t xml:space="preserve">Intro Date EMEA</t>
  </si>
  <si>
    <t xml:space="preserve">End Date EMEA</t>
  </si>
  <si>
    <t xml:space="preserve">Class</t>
  </si>
  <si>
    <t xml:space="preserve">Flag</t>
  </si>
  <si>
    <t xml:space="preserve">Flag - Comment</t>
  </si>
  <si>
    <t xml:space="preserve">Season</t>
  </si>
  <si>
    <t xml:space="preserve">Size Range</t>
  </si>
  <si>
    <t xml:space="preserve">RRP €</t>
  </si>
  <si>
    <t xml:space="preserve">WS €</t>
  </si>
  <si>
    <t xml:space="preserve">RRP CHF</t>
  </si>
  <si>
    <t xml:space="preserve">WS CHF</t>
  </si>
  <si>
    <t xml:space="preserve">RRP GBP</t>
  </si>
  <si>
    <t xml:space="preserve">WS GBP</t>
  </si>
  <si>
    <t xml:space="preserve"> RRP SEK</t>
  </si>
  <si>
    <t xml:space="preserve"> WS SEK</t>
  </si>
  <si>
    <t xml:space="preserve"> RRP NOK</t>
  </si>
  <si>
    <t xml:space="preserve"> WS NOK</t>
  </si>
  <si>
    <t xml:space="preserve"> RRP DKK</t>
  </si>
  <si>
    <t xml:space="preserve"> WS DKK</t>
  </si>
  <si>
    <t xml:space="preserve">1103651B020</t>
  </si>
  <si>
    <t xml:space="preserve">Addiction GTS 15</t>
  </si>
  <si>
    <t xml:space="preserve">ADDICTION GTS</t>
  </si>
  <si>
    <t xml:space="preserve">SUPPORTIVE CUSHION</t>
  </si>
  <si>
    <t xml:space="preserve">mens</t>
  </si>
  <si>
    <t xml:space="preserve">110365</t>
  </si>
  <si>
    <t xml:space="preserve">1B</t>
  </si>
  <si>
    <t xml:space="preserve">020</t>
  </si>
  <si>
    <t xml:space="preserve">020 Black/Black/Ebony</t>
  </si>
  <si>
    <t xml:space="preserve">Carry Over</t>
  </si>
  <si>
    <t xml:space="preserve">1/6/2025</t>
  </si>
  <si>
    <t xml:space="preserve">1/1/2026</t>
  </si>
  <si>
    <t xml:space="preserve">Inline</t>
  </si>
  <si>
    <t xml:space="preserve">F2025</t>
  </si>
  <si>
    <t xml:space="preserve">7-13, 14, 15, 16</t>
  </si>
  <si>
    <t xml:space="preserve"> 140.00 € </t>
  </si>
  <si>
    <t xml:space="preserve"> 70.00 € </t>
  </si>
  <si>
    <t xml:space="preserve"> 200.00 CHF </t>
  </si>
  <si>
    <t xml:space="preserve"> 100.00 CHF </t>
  </si>
  <si>
    <t xml:space="preserve"> £120.00 </t>
  </si>
  <si>
    <t xml:space="preserve"> £60.00 </t>
  </si>
  <si>
    <t xml:space="preserve"> 1,800.00 SEK </t>
  </si>
  <si>
    <t xml:space="preserve"> 900.00 SEK </t>
  </si>
  <si>
    <t xml:space="preserve"> 1,800.00 NOK </t>
  </si>
  <si>
    <t xml:space="preserve"> 900.00 NOK </t>
  </si>
  <si>
    <t xml:space="preserve"> 1,400.00 DKK </t>
  </si>
  <si>
    <t xml:space="preserve"> 700.00 DKK </t>
  </si>
  <si>
    <t xml:space="preserve">1103651D020</t>
  </si>
  <si>
    <t xml:space="preserve">1D</t>
  </si>
  <si>
    <t xml:space="preserve">Style/Color</t>
  </si>
  <si>
    <t xml:space="preserve">Supplier</t>
  </si>
  <si>
    <t xml:space="preserve">Item number</t>
  </si>
  <si>
    <t xml:space="preserve">Style</t>
  </si>
  <si>
    <t xml:space="preserve">Item Description</t>
  </si>
  <si>
    <t xml:space="preserve">Color</t>
  </si>
  <si>
    <t xml:space="preserve">Size</t>
  </si>
  <si>
    <t xml:space="preserve">Size EU</t>
  </si>
  <si>
    <t xml:space="preserve">Gender</t>
  </si>
  <si>
    <t xml:space="preserve">Business Line</t>
  </si>
  <si>
    <t xml:space="preserve">EAN</t>
  </si>
  <si>
    <t xml:space="preserve">UPC</t>
  </si>
  <si>
    <t xml:space="preserve">HTS_CODE</t>
  </si>
  <si>
    <t xml:space="preserve">FEDAS</t>
  </si>
  <si>
    <t xml:space="preserve">Country of origin</t>
  </si>
  <si>
    <t xml:space="preserve">Precio PVP</t>
  </si>
  <si>
    <t xml:space="preserve">Precio Coste</t>
  </si>
  <si>
    <t xml:space="preserve">Gross wt (lbs)</t>
  </si>
  <si>
    <t xml:space="preserve">Gross wt (kg)</t>
  </si>
  <si>
    <t xml:space="preserve">Net weight (lbs)</t>
  </si>
  <si>
    <t xml:space="preserve">Net wt (kg)</t>
  </si>
  <si>
    <t xml:space="preserve">Volume (inch³)</t>
  </si>
  <si>
    <t xml:space="preserve">Volume (cm³)</t>
  </si>
  <si>
    <t xml:space="preserve">1000491D681</t>
  </si>
  <si>
    <t xml:space="preserve">8469</t>
  </si>
  <si>
    <t xml:space="preserve">1000491D681.050</t>
  </si>
  <si>
    <t xml:space="preserve">100049</t>
  </si>
  <si>
    <t xml:space="preserve">Hyperion Elite 5</t>
  </si>
  <si>
    <t xml:space="preserve">Pink Clay/Atomizer Blue</t>
  </si>
  <si>
    <t xml:space="preserve">5.0</t>
  </si>
  <si>
    <t xml:space="preserve">37.5</t>
  </si>
  <si>
    <t xml:space="preserve">Unisex</t>
  </si>
  <si>
    <t xml:space="preserve">FTW</t>
  </si>
  <si>
    <t xml:space="preserve">0195394690217</t>
  </si>
  <si>
    <t xml:space="preserve">195394690217</t>
  </si>
  <si>
    <t xml:space="preserve">64041100000</t>
  </si>
  <si>
    <t xml:space="preserve">VN</t>
  </si>
  <si>
    <t xml:space="preserve">275.00 €</t>
  </si>
  <si>
    <t xml:space="preserve">137.50 €</t>
  </si>
  <si>
    <t xml:space="preserve">1.040</t>
  </si>
  <si>
    <t xml:space="preserve">0.472</t>
  </si>
  <si>
    <t xml:space="preserve">0.590</t>
  </si>
  <si>
    <t xml:space="preserve">0.268</t>
  </si>
  <si>
    <t xml:space="preserve">0.198</t>
  </si>
  <si>
    <t xml:space="preserve">3.245</t>
  </si>
  <si>
    <t xml:space="preserve">1204261B020</t>
  </si>
  <si>
    <t xml:space="preserve">1204261B020.050</t>
  </si>
  <si>
    <t xml:space="preserve">120426</t>
  </si>
  <si>
    <t xml:space="preserve">Adrenaline GTS 24</t>
  </si>
  <si>
    <t xml:space="preserve">Black/Black/Ebony</t>
  </si>
  <si>
    <t xml:space="preserve">Womens</t>
  </si>
  <si>
    <t xml:space="preserve">195394534245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</si>
</sst>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_-* #,##0.00&quot; €&quot;_-;\-* #,##0.00&quot; €&quot;_-;_-* \-??&quot; €&quot;_-;_-@"/>
    <numFmt numFmtId="167" formatCode="######0.000"/>
  </numFmts>
  <fonts count="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208"/>
  <sheetViews>
    <sheetView showFormulas="false" showGridLines="true" showRowColHeaders="true" showZeros="true" rightToLeft="false" tabSelected="false" showOutlineSymbols="true" defaultGridColor="true" view="normal" topLeftCell="M1" colorId="64" zoomScale="100" zoomScaleNormal="100" zoomScalePageLayoutView="100" workbookViewId="0">
      <selection pane="topLeft" activeCell="H7" activeCellId="0" sqref="H7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2.8" hidden="false" customHeight="false" outlineLevel="0" collapsed="false">
      <c r="A2" s="1" t="s">
        <v>30</v>
      </c>
      <c r="B2" s="1" t="s">
        <v>31</v>
      </c>
      <c r="C2" s="1" t="s">
        <v>32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O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55</v>
      </c>
      <c r="AD2" s="1" t="s">
        <v>56</v>
      </c>
    </row>
    <row r="3" customFormat="false" ht="12.8" hidden="false" customHeight="false" outlineLevel="0" collapsed="false">
      <c r="A3" s="1" t="s">
        <v>57</v>
      </c>
      <c r="B3" s="1" t="s">
        <v>31</v>
      </c>
      <c r="C3" s="1" t="s">
        <v>32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58</v>
      </c>
      <c r="I3" s="1" t="s">
        <v>37</v>
      </c>
      <c r="J3" s="1" t="s">
        <v>38</v>
      </c>
      <c r="K3" s="1" t="s">
        <v>39</v>
      </c>
      <c r="L3" s="1" t="s">
        <v>40</v>
      </c>
      <c r="M3" s="1" t="s">
        <v>41</v>
      </c>
      <c r="O3" s="1" t="s">
        <v>42</v>
      </c>
      <c r="Q3" s="1" t="s">
        <v>43</v>
      </c>
      <c r="R3" s="1" t="s">
        <v>44</v>
      </c>
      <c r="S3" s="1" t="s">
        <v>45</v>
      </c>
      <c r="T3" s="1" t="s">
        <v>46</v>
      </c>
      <c r="U3" s="1" t="s">
        <v>47</v>
      </c>
      <c r="V3" s="1" t="s">
        <v>48</v>
      </c>
      <c r="W3" s="1" t="s">
        <v>49</v>
      </c>
      <c r="X3" s="1" t="s">
        <v>50</v>
      </c>
      <c r="Y3" s="1" t="s">
        <v>51</v>
      </c>
      <c r="Z3" s="1" t="s">
        <v>52</v>
      </c>
      <c r="AA3" s="1" t="s">
        <v>53</v>
      </c>
      <c r="AB3" s="1" t="s">
        <v>54</v>
      </c>
      <c r="AC3" s="1" t="s">
        <v>55</v>
      </c>
      <c r="AD3" s="1" t="s">
        <v>56</v>
      </c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O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O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O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O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O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O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O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O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O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O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O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O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O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O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O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O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O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O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O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O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O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O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O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O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O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O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O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O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O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O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O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O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O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O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O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O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O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O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O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O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O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O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O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O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O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O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O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O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O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O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O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O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O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O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O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O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O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O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O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O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O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O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O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O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O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O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O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O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O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O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O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O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O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O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O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O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O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O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O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O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O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O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O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O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O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O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O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O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O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O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O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O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O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O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O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O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O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O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O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O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O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O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O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O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O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O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O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O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O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O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O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O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O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O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O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O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O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O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O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O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O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O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O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O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O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O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O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O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O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O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O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O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O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O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O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O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O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O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O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O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O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O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O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O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O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O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O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O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O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O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O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O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O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O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O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O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O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O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O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O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O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O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O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O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O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O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O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O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O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O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O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O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O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O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O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O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O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O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O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O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O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O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O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O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O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O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O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O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O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O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O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O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O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O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O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O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O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O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O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O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3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N5" activeCellId="0" sqref="N5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69</v>
      </c>
      <c r="N1" s="1" t="s">
        <v>69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</row>
    <row r="2" customFormat="false" ht="15" hidden="false" customHeight="false" outlineLevel="0" collapsed="false">
      <c r="A2" s="1" t="s">
        <v>82</v>
      </c>
      <c r="B2" s="1" t="s">
        <v>83</v>
      </c>
      <c r="C2" s="1" t="s">
        <v>84</v>
      </c>
      <c r="D2" s="1" t="s">
        <v>85</v>
      </c>
      <c r="E2" s="1" t="s">
        <v>86</v>
      </c>
      <c r="F2" s="1" t="s">
        <v>87</v>
      </c>
      <c r="G2" s="1" t="s">
        <v>88</v>
      </c>
      <c r="H2" s="1" t="s">
        <v>89</v>
      </c>
      <c r="I2" s="1" t="s">
        <v>90</v>
      </c>
      <c r="J2" s="1" t="s">
        <v>91</v>
      </c>
      <c r="K2" s="1" t="s">
        <v>92</v>
      </c>
      <c r="L2" s="1" t="s">
        <v>93</v>
      </c>
      <c r="M2" s="1" t="s">
        <v>92</v>
      </c>
      <c r="N2" s="1" t="s">
        <v>92</v>
      </c>
      <c r="O2" s="1" t="s">
        <v>94</v>
      </c>
      <c r="Q2" s="1" t="s">
        <v>95</v>
      </c>
      <c r="R2" s="1" t="s">
        <v>96</v>
      </c>
      <c r="S2" s="1" t="s">
        <v>97</v>
      </c>
      <c r="T2" s="1" t="s">
        <v>98</v>
      </c>
      <c r="U2" s="1" t="s">
        <v>99</v>
      </c>
      <c r="V2" s="1" t="s">
        <v>100</v>
      </c>
      <c r="W2" s="1" t="s">
        <v>101</v>
      </c>
      <c r="X2" s="1" t="s">
        <v>102</v>
      </c>
      <c r="Y2" s="1" t="s">
        <v>103</v>
      </c>
    </row>
    <row r="3" customFormat="false" ht="12.75" hidden="false" customHeight="true" outlineLevel="0" collapsed="false">
      <c r="A3" s="2" t="s">
        <v>104</v>
      </c>
      <c r="B3" s="2" t="n">
        <v>12829</v>
      </c>
      <c r="C3" s="2" t="s">
        <v>105</v>
      </c>
      <c r="D3" s="3" t="s">
        <v>106</v>
      </c>
      <c r="E3" s="4" t="s">
        <v>107</v>
      </c>
      <c r="F3" s="4" t="s">
        <v>108</v>
      </c>
      <c r="G3" s="4" t="s">
        <v>88</v>
      </c>
      <c r="H3" s="4" t="n">
        <v>35.5</v>
      </c>
      <c r="I3" s="4" t="s">
        <v>109</v>
      </c>
      <c r="J3" s="4" t="s">
        <v>91</v>
      </c>
      <c r="K3" s="2" t="str">
        <f aca="false">0&amp;L3</f>
        <v>0195394534245</v>
      </c>
      <c r="L3" s="2" t="s">
        <v>110</v>
      </c>
      <c r="M3" s="2" t="s">
        <v>94</v>
      </c>
      <c r="N3" s="2" t="s">
        <v>94</v>
      </c>
      <c r="O3" s="2" t="n">
        <v>346062</v>
      </c>
      <c r="P3" s="5" t="s">
        <v>95</v>
      </c>
      <c r="Q3" s="6" t="e">
        <f aca="false">VLOOKUP(A3,,19,FALSE())</f>
        <v>#NAME?</v>
      </c>
      <c r="R3" s="6" t="e">
        <f aca="false">VLOOKUP(A3,,20,FALSE())</f>
        <v>#NAME?</v>
      </c>
      <c r="S3" s="7" t="n">
        <v>1.155</v>
      </c>
      <c r="T3" s="8" t="n">
        <f aca="false">S3*0.45359237</f>
        <v>0.52389918735</v>
      </c>
      <c r="U3" s="7" t="n">
        <v>0.705</v>
      </c>
      <c r="V3" s="8" t="n">
        <f aca="false">U3*0.45359237</f>
        <v>0.31978262085</v>
      </c>
      <c r="W3" s="7" t="n">
        <v>0.174</v>
      </c>
      <c r="X3" s="8" t="n">
        <f aca="false">W3*16.3871</f>
        <v>2.8513554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2025-05-29T09:58:59Z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