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icelist" sheetId="1" state="visible" r:id="rId2"/>
    <sheet name="Pricat Completo" sheetId="2" state="visible" r:id="rId3"/>
  </sheets>
  <externalReferences>
    <externalReference r:id="rId4"/>
  </externalReferenc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<sst xmlns="http://schemas.openxmlformats.org/spreadsheetml/2006/main" count="131" uniqueCount="100">
  <si>
    <t xml:space="preserve">M3StyleID</t>
  </si>
  <si>
    <t xml:space="preserve">Style Name</t>
  </si>
  <si>
    <t xml:space="preserve">Cubes Family</t>
  </si>
  <si>
    <t xml:space="preserve">Reporting Family</t>
  </si>
  <si>
    <t xml:space="preserve">Catalog Category</t>
  </si>
  <si>
    <t xml:space="preserve">GENDER</t>
  </si>
  <si>
    <t xml:space="preserve">Item Code</t>
  </si>
  <si>
    <t xml:space="preserve">Width Code</t>
  </si>
  <si>
    <t xml:space="preserve">Colour Code</t>
  </si>
  <si>
    <t xml:space="preserve">Colourway</t>
  </si>
  <si>
    <t xml:space="preserve">New / New Colour / Carry Over</t>
  </si>
  <si>
    <t xml:space="preserve">Intro Date EMEA</t>
  </si>
  <si>
    <t xml:space="preserve">End Date EMEA</t>
  </si>
  <si>
    <t xml:space="preserve">Class</t>
  </si>
  <si>
    <t xml:space="preserve">Flag</t>
  </si>
  <si>
    <t xml:space="preserve">Flag - Comment</t>
  </si>
  <si>
    <t xml:space="preserve">Season</t>
  </si>
  <si>
    <t xml:space="preserve">Size Range</t>
  </si>
  <si>
    <t xml:space="preserve">RRP €</t>
  </si>
  <si>
    <t xml:space="preserve">WS €</t>
  </si>
  <si>
    <t xml:space="preserve">RRP CHF</t>
  </si>
  <si>
    <t xml:space="preserve">WS CHF</t>
  </si>
  <si>
    <t xml:space="preserve">RRP GBP</t>
  </si>
  <si>
    <t xml:space="preserve">WS GBP</t>
  </si>
  <si>
    <t xml:space="preserve"> RRP SEK</t>
  </si>
  <si>
    <t xml:space="preserve"> WS SEK</t>
  </si>
  <si>
    <t xml:space="preserve"> RRP NOK</t>
  </si>
  <si>
    <t xml:space="preserve"> WS NOK</t>
  </si>
  <si>
    <t xml:space="preserve"> RRP DKK</t>
  </si>
  <si>
    <t xml:space="preserve"> WS DKK</t>
  </si>
  <si>
    <t xml:space="preserve">1103651B020</t>
  </si>
  <si>
    <t xml:space="preserve">Addiction GTS 15</t>
  </si>
  <si>
    <t xml:space="preserve">ADDICTION GTS</t>
  </si>
  <si>
    <t xml:space="preserve">SUPPORTIVE CUSHION</t>
  </si>
  <si>
    <t xml:space="preserve">mens</t>
  </si>
  <si>
    <t xml:space="preserve">110365</t>
  </si>
  <si>
    <t xml:space="preserve">1B</t>
  </si>
  <si>
    <t xml:space="preserve">020</t>
  </si>
  <si>
    <t xml:space="preserve">020 Black/Black/Ebony</t>
  </si>
  <si>
    <t xml:space="preserve">Carry Over</t>
  </si>
  <si>
    <t xml:space="preserve">1/6/2025</t>
  </si>
  <si>
    <t xml:space="preserve">1/1/2026</t>
  </si>
  <si>
    <t xml:space="preserve">Inline</t>
  </si>
  <si>
    <t xml:space="preserve">F2025</t>
  </si>
  <si>
    <t xml:space="preserve">7-13, 14, 15, 16</t>
  </si>
  <si>
    <t xml:space="preserve"> 140.00 € </t>
  </si>
  <si>
    <t xml:space="preserve"> 70.00 € </t>
  </si>
  <si>
    <t xml:space="preserve"> 200.00 CHF </t>
  </si>
  <si>
    <t xml:space="preserve"> 100.00 CHF </t>
  </si>
  <si>
    <t xml:space="preserve"> £120.00 </t>
  </si>
  <si>
    <t xml:space="preserve"> £60.00 </t>
  </si>
  <si>
    <t xml:space="preserve"> 1,800.00 SEK </t>
  </si>
  <si>
    <t xml:space="preserve"> 900.00 SEK </t>
  </si>
  <si>
    <t xml:space="preserve"> 1,800.00 NOK </t>
  </si>
  <si>
    <t xml:space="preserve"> 900.00 NOK </t>
  </si>
  <si>
    <t xml:space="preserve"> 1,400.00 DKK </t>
  </si>
  <si>
    <t xml:space="preserve"> 700.00 DKK </t>
  </si>
  <si>
    <t xml:space="preserve">1103651D020</t>
  </si>
  <si>
    <t xml:space="preserve">1D</t>
  </si>
  <si>
    <t xml:space="preserve">Style/Color</t>
  </si>
  <si>
    <t xml:space="preserve">Supplier</t>
  </si>
  <si>
    <t xml:space="preserve">Item number</t>
  </si>
  <si>
    <t xml:space="preserve">Style</t>
  </si>
  <si>
    <t xml:space="preserve">Item Description</t>
  </si>
  <si>
    <t xml:space="preserve">Color</t>
  </si>
  <si>
    <t xml:space="preserve">Size</t>
  </si>
  <si>
    <t xml:space="preserve">Size EU</t>
  </si>
  <si>
    <t xml:space="preserve">Gender</t>
  </si>
  <si>
    <t xml:space="preserve">Business Line</t>
  </si>
  <si>
    <t xml:space="preserve">EAN</t>
  </si>
  <si>
    <t xml:space="preserve">UPC</t>
  </si>
  <si>
    <t xml:space="preserve">HTS_CODE</t>
  </si>
  <si>
    <t xml:space="preserve">FEDAS</t>
  </si>
  <si>
    <t xml:space="preserve">Country of origin</t>
  </si>
  <si>
    <t xml:space="preserve">Precio PVP</t>
  </si>
  <si>
    <t xml:space="preserve">Precio Coste</t>
  </si>
  <si>
    <t xml:space="preserve">Gross wt (lbs)</t>
  </si>
  <si>
    <t xml:space="preserve">Gross wt (kg)</t>
  </si>
  <si>
    <t xml:space="preserve">Net weight (lbs)</t>
  </si>
  <si>
    <t xml:space="preserve">Net wt (kg)</t>
  </si>
  <si>
    <t xml:space="preserve">Volume (inch³)</t>
  </si>
  <si>
    <t xml:space="preserve">Volume (cm³)</t>
  </si>
  <si>
    <t xml:space="preserve">1000491D681</t>
  </si>
  <si>
    <t xml:space="preserve">1000491D681.050</t>
  </si>
  <si>
    <t xml:space="preserve">100049</t>
  </si>
  <si>
    <t xml:space="preserve">Hyperion Elite 5</t>
  </si>
  <si>
    <t xml:space="preserve">Pink Clay/Atomizer Blue</t>
  </si>
  <si>
    <t xml:space="preserve">5.0</t>
  </si>
  <si>
    <t xml:space="preserve">Unisex</t>
  </si>
  <si>
    <t xml:space="preserve">FTW</t>
  </si>
  <si>
    <t xml:space="preserve">195394690217</t>
  </si>
  <si>
    <t xml:space="preserve">64041100000</t>
  </si>
  <si>
    <t xml:space="preserve">VN</t>
  </si>
  <si>
    <t xml:space="preserve">1204261B020</t>
  </si>
  <si>
    <t xml:space="preserve">1204261B020.050</t>
  </si>
  <si>
    <t xml:space="preserve">120426</t>
  </si>
  <si>
    <t xml:space="preserve">Adrenaline GTS 24</t>
  </si>
  <si>
    <t xml:space="preserve">Black/Black/Ebony</t>
  </si>
  <si>
    <t xml:space="preserve">Womens</t>
  </si>
  <si>
    <t xml:space="preserve">195394534245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</si>
</sst>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@"/>
    <numFmt numFmtId="166" formatCode="_-* #,##0.00&quot; €&quot;_-;\-* #,##0.00&quot; €&quot;_-;_-* \-??&quot; €&quot;_-;_-@"/>
    <numFmt numFmtId="167" formatCode="######0.000"/>
    <numFmt numFmtId="168" formatCode="d/m/yyyy"/>
    <numFmt numFmtId="169" formatCode="_-* #,##0.00\ [$CHF]_-;\-* #,##0.00\ [$CHF]_-;_-* \-??\ [$CHF]_-;_-@"/>
    <numFmt numFmtId="170" formatCode="_-[$£-809]* #,##0.00_-;\-[$£-809]* #,##0.00_-;_-[$£-809]* \-??_-;_-@"/>
    <numFmt numFmtId="171" formatCode="_-* #,##0.00\ [$SEK]_-;\-* #,##0.00\ [$SEK]_-;_-* \-??\ [$SEK]_-;_-@"/>
    <numFmt numFmtId="172" formatCode="_-* #,##0.00\ [$NOK]_-;\-* #,##0.00\ [$NOK]_-;_-* \-??\ [$NOK]_-;_-@"/>
    <numFmt numFmtId="173" formatCode="_-* #,##0.00\ [$DKK]_-;\-* #,##0.00\ [$DKK]_-;_-* \-??\ [$DKK]_-;_-@"/>
  </numFmts>
  <fonts count="8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sz val="10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2"/>
        <color rgb="FF9C0006"/>
        <sz val="12"/>
      </font>
      <fill>
        <patternFill>
          <bgColor rgb="FFFFC7CE"/>
        </patternFill>
      </fill>
    </dxf>
    <dxf>
      <font>
        <name val="Calibri"/>
        <charset val="1"/>
        <family val="2"/>
        <color rgb="FF9C0006"/>
        <sz val="12"/>
      </font>
      <fill>
        <patternFill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home/tecnico/Escritorio/Brooks-Pricat%20F25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icelist"/>
      <sheetName val="Pricat Completo"/>
    </sheetNames>
    <sheetDataSet>
      <sheetData sheetId="0">
        <row r="2">
          <cell r="A2" t="str">
            <v>1103651B020</v>
          </cell>
          <cell r="B2" t="str">
            <v>Addiction GTS 15</v>
          </cell>
          <cell r="C2" t="str">
            <v>ADDICTION GTS</v>
          </cell>
          <cell r="D2" t="str">
            <v>ADDICTION GTS</v>
          </cell>
          <cell r="E2" t="str">
            <v>SUPPORTIVE CUSHION</v>
          </cell>
          <cell r="F2" t="str">
            <v>mens</v>
          </cell>
          <cell r="G2" t="str">
            <v>110365</v>
          </cell>
          <cell r="H2" t="str">
            <v>1B</v>
          </cell>
          <cell r="I2" t="str">
            <v>020</v>
          </cell>
          <cell r="J2" t="str">
            <v>020 Black/Black/Ebony</v>
          </cell>
          <cell r="K2" t="str">
            <v>Carry Over</v>
          </cell>
          <cell r="L2">
            <v>45809</v>
          </cell>
          <cell r="M2">
            <v>46023</v>
          </cell>
        </row>
        <row r="2">
          <cell r="O2" t="str">
            <v>Inline</v>
          </cell>
        </row>
        <row r="2">
          <cell r="Q2" t="str">
            <v>F2025</v>
          </cell>
          <cell r="R2" t="str">
            <v>7-13, 14, 15, 16</v>
          </cell>
          <cell r="S2">
            <v>140</v>
          </cell>
          <cell r="T2">
            <v>70</v>
          </cell>
          <cell r="U2">
            <v>200</v>
          </cell>
          <cell r="V2">
            <v>100</v>
          </cell>
          <cell r="W2">
            <v>120</v>
          </cell>
          <cell r="X2">
            <v>60</v>
          </cell>
          <cell r="Y2">
            <v>1800</v>
          </cell>
          <cell r="Z2">
            <v>900</v>
          </cell>
          <cell r="AA2">
            <v>1800</v>
          </cell>
          <cell r="AB2">
            <v>900</v>
          </cell>
          <cell r="AC2">
            <v>1400</v>
          </cell>
          <cell r="AD2">
            <v>700</v>
          </cell>
        </row>
        <row r="3">
          <cell r="A3" t="str">
            <v>1103651D020</v>
          </cell>
          <cell r="B3" t="str">
            <v>Addiction GTS 15</v>
          </cell>
          <cell r="C3" t="str">
            <v>ADDICTION GTS</v>
          </cell>
          <cell r="D3" t="str">
            <v>ADDICTION GTS</v>
          </cell>
          <cell r="E3" t="str">
            <v>SUPPORTIVE CUSHION</v>
          </cell>
          <cell r="F3" t="str">
            <v>mens</v>
          </cell>
          <cell r="G3" t="str">
            <v>110365</v>
          </cell>
          <cell r="H3" t="str">
            <v>1D</v>
          </cell>
          <cell r="I3" t="str">
            <v>020</v>
          </cell>
          <cell r="J3" t="str">
            <v>020 Black/Black/Ebony</v>
          </cell>
          <cell r="K3" t="str">
            <v>Carry Over</v>
          </cell>
          <cell r="L3">
            <v>45809</v>
          </cell>
          <cell r="M3">
            <v>46023</v>
          </cell>
        </row>
        <row r="3">
          <cell r="O3" t="str">
            <v>Inline</v>
          </cell>
        </row>
        <row r="3">
          <cell r="Q3" t="str">
            <v>F2025</v>
          </cell>
          <cell r="R3" t="str">
            <v>7-13, 14, 15, 16</v>
          </cell>
          <cell r="S3">
            <v>140</v>
          </cell>
          <cell r="T3">
            <v>70</v>
          </cell>
          <cell r="U3">
            <v>200</v>
          </cell>
          <cell r="V3">
            <v>100</v>
          </cell>
          <cell r="W3">
            <v>120</v>
          </cell>
          <cell r="X3">
            <v>60</v>
          </cell>
          <cell r="Y3">
            <v>1800</v>
          </cell>
          <cell r="Z3">
            <v>900</v>
          </cell>
          <cell r="AA3">
            <v>1800</v>
          </cell>
          <cell r="AB3">
            <v>900</v>
          </cell>
          <cell r="AC3">
            <v>1400</v>
          </cell>
          <cell r="AD3">
            <v>700</v>
          </cell>
        </row>
        <row r="4">
          <cell r="A4" t="str">
            <v>1103652E020</v>
          </cell>
          <cell r="B4" t="str">
            <v>Addiction GTS 15</v>
          </cell>
          <cell r="C4" t="str">
            <v>ADDICTION GTS</v>
          </cell>
          <cell r="D4" t="str">
            <v>ADDICTION GTS</v>
          </cell>
          <cell r="E4" t="str">
            <v>SUPPORTIVE CUSHION</v>
          </cell>
          <cell r="F4" t="str">
            <v>mens</v>
          </cell>
          <cell r="G4" t="str">
            <v>110365</v>
          </cell>
          <cell r="H4" t="str">
            <v>2E</v>
          </cell>
          <cell r="I4" t="str">
            <v>020</v>
          </cell>
          <cell r="J4" t="str">
            <v>020 Black/Black/Ebony</v>
          </cell>
          <cell r="K4" t="str">
            <v>Carry Over</v>
          </cell>
          <cell r="L4">
            <v>45809</v>
          </cell>
          <cell r="M4">
            <v>46023</v>
          </cell>
        </row>
        <row r="4">
          <cell r="O4" t="str">
            <v>Inline</v>
          </cell>
        </row>
        <row r="4">
          <cell r="Q4" t="str">
            <v>F2025</v>
          </cell>
          <cell r="R4" t="str">
            <v>8-13, 14, 15, 16</v>
          </cell>
          <cell r="S4">
            <v>140</v>
          </cell>
          <cell r="T4">
            <v>70</v>
          </cell>
          <cell r="U4">
            <v>200</v>
          </cell>
          <cell r="V4">
            <v>100</v>
          </cell>
          <cell r="W4">
            <v>120</v>
          </cell>
          <cell r="X4">
            <v>60</v>
          </cell>
          <cell r="Y4">
            <v>1800</v>
          </cell>
          <cell r="Z4">
            <v>900</v>
          </cell>
          <cell r="AA4">
            <v>1800</v>
          </cell>
          <cell r="AB4">
            <v>900</v>
          </cell>
          <cell r="AC4">
            <v>1400</v>
          </cell>
          <cell r="AD4">
            <v>700</v>
          </cell>
        </row>
        <row r="5">
          <cell r="A5" t="str">
            <v>1103654E020</v>
          </cell>
          <cell r="B5" t="str">
            <v>Addiction GTS 15</v>
          </cell>
          <cell r="C5" t="str">
            <v>ADDICTION GTS</v>
          </cell>
          <cell r="D5" t="str">
            <v>ADDICTION GTS</v>
          </cell>
          <cell r="E5" t="str">
            <v>SUPPORTIVE CUSHION</v>
          </cell>
          <cell r="F5" t="str">
            <v>mens</v>
          </cell>
          <cell r="G5" t="str">
            <v>110365</v>
          </cell>
          <cell r="H5" t="str">
            <v>4E</v>
          </cell>
          <cell r="I5" t="str">
            <v>020</v>
          </cell>
          <cell r="J5" t="str">
            <v>020 Black/Black/Ebony</v>
          </cell>
          <cell r="K5" t="str">
            <v>Carry Over</v>
          </cell>
          <cell r="L5">
            <v>45809</v>
          </cell>
          <cell r="M5">
            <v>46023</v>
          </cell>
        </row>
        <row r="5">
          <cell r="O5" t="str">
            <v>Inline</v>
          </cell>
        </row>
        <row r="5">
          <cell r="Q5" t="str">
            <v>F2025</v>
          </cell>
          <cell r="R5" t="str">
            <v>8-13, 14, 15, 16</v>
          </cell>
          <cell r="S5">
            <v>140</v>
          </cell>
          <cell r="T5">
            <v>70</v>
          </cell>
          <cell r="U5">
            <v>200</v>
          </cell>
          <cell r="V5">
            <v>100</v>
          </cell>
          <cell r="W5">
            <v>120</v>
          </cell>
          <cell r="X5">
            <v>60</v>
          </cell>
          <cell r="Y5">
            <v>1800</v>
          </cell>
          <cell r="Z5">
            <v>900</v>
          </cell>
          <cell r="AA5">
            <v>1800</v>
          </cell>
          <cell r="AB5">
            <v>900</v>
          </cell>
          <cell r="AC5">
            <v>1400</v>
          </cell>
          <cell r="AD5">
            <v>700</v>
          </cell>
        </row>
        <row r="6">
          <cell r="A6" t="str">
            <v>1103651B077</v>
          </cell>
          <cell r="B6" t="str">
            <v>Addiction GTS 15</v>
          </cell>
          <cell r="C6" t="str">
            <v>ADDICTION GTS</v>
          </cell>
          <cell r="D6" t="str">
            <v>ADDICTION GTS</v>
          </cell>
          <cell r="E6" t="str">
            <v>SUPPORTIVE CUSHION</v>
          </cell>
          <cell r="F6" t="str">
            <v>mens</v>
          </cell>
          <cell r="G6" t="str">
            <v>110365</v>
          </cell>
          <cell r="H6" t="str">
            <v>1B</v>
          </cell>
          <cell r="I6" t="str">
            <v>077</v>
          </cell>
          <cell r="J6" t="str">
            <v>077 India Ink/Black/Blue</v>
          </cell>
          <cell r="K6" t="str">
            <v>Carry Over</v>
          </cell>
          <cell r="L6">
            <v>45809</v>
          </cell>
          <cell r="M6">
            <v>46023</v>
          </cell>
        </row>
        <row r="6">
          <cell r="O6" t="str">
            <v>Inline</v>
          </cell>
        </row>
        <row r="6">
          <cell r="Q6" t="str">
            <v>F2025</v>
          </cell>
          <cell r="R6" t="str">
            <v>7-13, 14, 15, 16</v>
          </cell>
          <cell r="S6">
            <v>140</v>
          </cell>
          <cell r="T6">
            <v>70</v>
          </cell>
          <cell r="U6">
            <v>200</v>
          </cell>
          <cell r="V6">
            <v>100</v>
          </cell>
          <cell r="W6">
            <v>120</v>
          </cell>
          <cell r="X6">
            <v>60</v>
          </cell>
          <cell r="Y6">
            <v>1800</v>
          </cell>
          <cell r="Z6">
            <v>900</v>
          </cell>
          <cell r="AA6">
            <v>1800</v>
          </cell>
          <cell r="AB6">
            <v>900</v>
          </cell>
          <cell r="AC6">
            <v>1400</v>
          </cell>
          <cell r="AD6">
            <v>700</v>
          </cell>
        </row>
        <row r="7">
          <cell r="A7" t="str">
            <v>1103651D077</v>
          </cell>
          <cell r="B7" t="str">
            <v>Addiction GTS 15</v>
          </cell>
          <cell r="C7" t="str">
            <v>ADDICTION GTS</v>
          </cell>
          <cell r="D7" t="str">
            <v>ADDICTION GTS</v>
          </cell>
          <cell r="E7" t="str">
            <v>SUPPORTIVE CUSHION</v>
          </cell>
          <cell r="F7" t="str">
            <v>mens</v>
          </cell>
          <cell r="G7" t="str">
            <v>110365</v>
          </cell>
          <cell r="H7" t="str">
            <v>1D</v>
          </cell>
          <cell r="I7" t="str">
            <v>077</v>
          </cell>
          <cell r="J7" t="str">
            <v>077 India Ink/Black/Blue</v>
          </cell>
          <cell r="K7" t="str">
            <v>Carry Over</v>
          </cell>
          <cell r="L7">
            <v>45809</v>
          </cell>
          <cell r="M7">
            <v>46023</v>
          </cell>
        </row>
        <row r="7">
          <cell r="O7" t="str">
            <v>Inline</v>
          </cell>
        </row>
        <row r="7">
          <cell r="Q7" t="str">
            <v>F2025</v>
          </cell>
          <cell r="R7" t="str">
            <v>7-13, 14, 15, 16</v>
          </cell>
          <cell r="S7">
            <v>140</v>
          </cell>
          <cell r="T7">
            <v>70</v>
          </cell>
          <cell r="U7">
            <v>200</v>
          </cell>
          <cell r="V7">
            <v>100</v>
          </cell>
          <cell r="W7">
            <v>120</v>
          </cell>
          <cell r="X7">
            <v>60</v>
          </cell>
          <cell r="Y7">
            <v>1800</v>
          </cell>
          <cell r="Z7">
            <v>900</v>
          </cell>
          <cell r="AA7">
            <v>1800</v>
          </cell>
          <cell r="AB7">
            <v>900</v>
          </cell>
          <cell r="AC7">
            <v>1400</v>
          </cell>
          <cell r="AD7">
            <v>700</v>
          </cell>
        </row>
        <row r="8">
          <cell r="A8" t="str">
            <v>1103652E077</v>
          </cell>
          <cell r="B8" t="str">
            <v>Addiction GTS 15</v>
          </cell>
          <cell r="C8" t="str">
            <v>ADDICTION GTS</v>
          </cell>
          <cell r="D8" t="str">
            <v>ADDICTION GTS</v>
          </cell>
          <cell r="E8" t="str">
            <v>SUPPORTIVE CUSHION</v>
          </cell>
          <cell r="F8" t="str">
            <v>mens</v>
          </cell>
          <cell r="G8" t="str">
            <v>110365</v>
          </cell>
          <cell r="H8" t="str">
            <v>2E</v>
          </cell>
          <cell r="I8" t="str">
            <v>077</v>
          </cell>
          <cell r="J8" t="str">
            <v>077 India Ink/Black/Blue</v>
          </cell>
          <cell r="K8" t="str">
            <v>Carry Over</v>
          </cell>
          <cell r="L8">
            <v>45809</v>
          </cell>
          <cell r="M8">
            <v>46023</v>
          </cell>
        </row>
        <row r="8">
          <cell r="O8" t="str">
            <v>Inline</v>
          </cell>
        </row>
        <row r="8">
          <cell r="Q8" t="str">
            <v>F2025</v>
          </cell>
          <cell r="R8" t="str">
            <v>8-13, 14, 15, 16</v>
          </cell>
          <cell r="S8">
            <v>140</v>
          </cell>
          <cell r="T8">
            <v>70</v>
          </cell>
          <cell r="U8">
            <v>200</v>
          </cell>
          <cell r="V8">
            <v>100</v>
          </cell>
          <cell r="W8">
            <v>120</v>
          </cell>
          <cell r="X8">
            <v>60</v>
          </cell>
          <cell r="Y8">
            <v>1800</v>
          </cell>
          <cell r="Z8">
            <v>900</v>
          </cell>
          <cell r="AA8">
            <v>1800</v>
          </cell>
          <cell r="AB8">
            <v>900</v>
          </cell>
          <cell r="AC8">
            <v>1400</v>
          </cell>
          <cell r="AD8">
            <v>700</v>
          </cell>
        </row>
        <row r="9">
          <cell r="A9" t="str">
            <v>1103654E077</v>
          </cell>
          <cell r="B9" t="str">
            <v>Addiction GTS 15</v>
          </cell>
          <cell r="C9" t="str">
            <v>ADDICTION GTS</v>
          </cell>
          <cell r="D9" t="str">
            <v>ADDICTION GTS</v>
          </cell>
          <cell r="E9" t="str">
            <v>SUPPORTIVE CUSHION</v>
          </cell>
          <cell r="F9" t="str">
            <v>mens</v>
          </cell>
          <cell r="G9" t="str">
            <v>110365</v>
          </cell>
          <cell r="H9" t="str">
            <v>4E</v>
          </cell>
          <cell r="I9" t="str">
            <v>077</v>
          </cell>
          <cell r="J9" t="str">
            <v>077 India Ink/Black/Blue</v>
          </cell>
          <cell r="K9" t="str">
            <v>Carry Over</v>
          </cell>
          <cell r="L9">
            <v>45809</v>
          </cell>
          <cell r="M9">
            <v>46023</v>
          </cell>
        </row>
        <row r="9">
          <cell r="O9" t="str">
            <v>Inline</v>
          </cell>
        </row>
        <row r="9">
          <cell r="Q9" t="str">
            <v>F2025</v>
          </cell>
          <cell r="R9" t="str">
            <v>8-13, 14, 15, 16</v>
          </cell>
          <cell r="S9">
            <v>140</v>
          </cell>
          <cell r="T9">
            <v>70</v>
          </cell>
          <cell r="U9">
            <v>200</v>
          </cell>
          <cell r="V9">
            <v>100</v>
          </cell>
          <cell r="W9">
            <v>120</v>
          </cell>
          <cell r="X9">
            <v>60</v>
          </cell>
          <cell r="Y9">
            <v>1800</v>
          </cell>
          <cell r="Z9">
            <v>900</v>
          </cell>
          <cell r="AA9">
            <v>1800</v>
          </cell>
          <cell r="AB9">
            <v>900</v>
          </cell>
          <cell r="AC9">
            <v>1400</v>
          </cell>
          <cell r="AD9">
            <v>700</v>
          </cell>
        </row>
        <row r="10">
          <cell r="A10" t="str">
            <v>1203521B099</v>
          </cell>
          <cell r="B10" t="str">
            <v>Addiction GTS 15</v>
          </cell>
          <cell r="C10" t="str">
            <v>ADDICTION GTS</v>
          </cell>
          <cell r="D10" t="str">
            <v>ADDICTION GTS</v>
          </cell>
          <cell r="E10" t="str">
            <v>SUPPORTIVE CUSHION</v>
          </cell>
          <cell r="F10" t="str">
            <v>womens</v>
          </cell>
          <cell r="G10" t="str">
            <v>120352</v>
          </cell>
          <cell r="H10" t="str">
            <v>1B</v>
          </cell>
          <cell r="I10" t="str">
            <v>099</v>
          </cell>
          <cell r="J10" t="str">
            <v>099 Grey/Navy/Aqua</v>
          </cell>
          <cell r="K10" t="str">
            <v>Carry Over</v>
          </cell>
          <cell r="L10">
            <v>45809</v>
          </cell>
          <cell r="M10">
            <v>46023</v>
          </cell>
        </row>
        <row r="10">
          <cell r="O10" t="str">
            <v>Inline</v>
          </cell>
        </row>
        <row r="10">
          <cell r="Q10" t="str">
            <v>F2025</v>
          </cell>
          <cell r="R10" t="str">
            <v>5-12</v>
          </cell>
          <cell r="S10">
            <v>140</v>
          </cell>
          <cell r="T10">
            <v>70</v>
          </cell>
          <cell r="U10">
            <v>200</v>
          </cell>
          <cell r="V10">
            <v>100</v>
          </cell>
          <cell r="W10">
            <v>120</v>
          </cell>
          <cell r="X10">
            <v>60</v>
          </cell>
          <cell r="Y10">
            <v>1800</v>
          </cell>
          <cell r="Z10">
            <v>900</v>
          </cell>
          <cell r="AA10">
            <v>1800</v>
          </cell>
          <cell r="AB10">
            <v>900</v>
          </cell>
          <cell r="AC10">
            <v>1400</v>
          </cell>
          <cell r="AD10">
            <v>700</v>
          </cell>
        </row>
        <row r="11">
          <cell r="A11" t="str">
            <v>1203521D099</v>
          </cell>
          <cell r="B11" t="str">
            <v>Addiction GTS 15</v>
          </cell>
          <cell r="C11" t="str">
            <v>ADDICTION GTS</v>
          </cell>
          <cell r="D11" t="str">
            <v>ADDICTION GTS</v>
          </cell>
          <cell r="E11" t="str">
            <v>SUPPORTIVE CUSHION</v>
          </cell>
          <cell r="F11" t="str">
            <v>womens</v>
          </cell>
          <cell r="G11" t="str">
            <v>120352</v>
          </cell>
          <cell r="H11" t="str">
            <v>1D</v>
          </cell>
          <cell r="I11" t="str">
            <v>099</v>
          </cell>
          <cell r="J11" t="str">
            <v>099 Grey/Navy/Aqua</v>
          </cell>
          <cell r="K11" t="str">
            <v>Carry Over</v>
          </cell>
          <cell r="L11">
            <v>45809</v>
          </cell>
          <cell r="M11">
            <v>46023</v>
          </cell>
        </row>
        <row r="11">
          <cell r="O11" t="str">
            <v>Inline</v>
          </cell>
        </row>
        <row r="11">
          <cell r="Q11" t="str">
            <v>F2025</v>
          </cell>
          <cell r="R11" t="str">
            <v>5-12</v>
          </cell>
          <cell r="S11">
            <v>140</v>
          </cell>
          <cell r="T11">
            <v>70</v>
          </cell>
          <cell r="U11">
            <v>200</v>
          </cell>
          <cell r="V11">
            <v>100</v>
          </cell>
          <cell r="W11">
            <v>120</v>
          </cell>
          <cell r="X11">
            <v>60</v>
          </cell>
          <cell r="Y11">
            <v>1800</v>
          </cell>
          <cell r="Z11">
            <v>900</v>
          </cell>
          <cell r="AA11">
            <v>1800</v>
          </cell>
          <cell r="AB11">
            <v>900</v>
          </cell>
          <cell r="AC11">
            <v>1400</v>
          </cell>
          <cell r="AD11">
            <v>700</v>
          </cell>
        </row>
        <row r="12">
          <cell r="A12" t="str">
            <v>1203522A099</v>
          </cell>
          <cell r="B12" t="str">
            <v>Addiction GTS 15</v>
          </cell>
          <cell r="C12" t="str">
            <v>ADDICTION GTS</v>
          </cell>
          <cell r="D12" t="str">
            <v>ADDICTION GTS</v>
          </cell>
          <cell r="E12" t="str">
            <v>SUPPORTIVE CUSHION</v>
          </cell>
          <cell r="F12" t="str">
            <v>womens</v>
          </cell>
          <cell r="G12" t="str">
            <v>120352</v>
          </cell>
          <cell r="H12" t="str">
            <v>2A</v>
          </cell>
          <cell r="I12" t="str">
            <v>099</v>
          </cell>
          <cell r="J12" t="str">
            <v>099 Grey/Navy/Aqua</v>
          </cell>
          <cell r="K12" t="str">
            <v>Carry Over</v>
          </cell>
          <cell r="L12">
            <v>45809</v>
          </cell>
          <cell r="M12">
            <v>46023</v>
          </cell>
        </row>
        <row r="12">
          <cell r="O12" t="str">
            <v>Inline</v>
          </cell>
        </row>
        <row r="12">
          <cell r="Q12" t="str">
            <v>F2025</v>
          </cell>
          <cell r="R12" t="str">
            <v>5-12</v>
          </cell>
          <cell r="S12">
            <v>140</v>
          </cell>
          <cell r="T12">
            <v>70</v>
          </cell>
          <cell r="U12">
            <v>200</v>
          </cell>
          <cell r="V12">
            <v>100</v>
          </cell>
          <cell r="W12">
            <v>120</v>
          </cell>
          <cell r="X12">
            <v>60</v>
          </cell>
          <cell r="Y12">
            <v>1800</v>
          </cell>
          <cell r="Z12">
            <v>900</v>
          </cell>
          <cell r="AA12">
            <v>1800</v>
          </cell>
          <cell r="AB12">
            <v>900</v>
          </cell>
          <cell r="AC12">
            <v>1400</v>
          </cell>
          <cell r="AD12">
            <v>700</v>
          </cell>
        </row>
        <row r="13">
          <cell r="A13" t="str">
            <v>1203522E099</v>
          </cell>
          <cell r="B13" t="str">
            <v>Addiction GTS 15</v>
          </cell>
          <cell r="C13" t="str">
            <v>ADDICTION GTS</v>
          </cell>
          <cell r="D13" t="str">
            <v>ADDICTION GTS</v>
          </cell>
          <cell r="E13" t="str">
            <v>SUPPORTIVE CUSHION</v>
          </cell>
          <cell r="F13" t="str">
            <v>womens</v>
          </cell>
          <cell r="G13" t="str">
            <v>120352</v>
          </cell>
          <cell r="H13" t="str">
            <v>2E</v>
          </cell>
          <cell r="I13" t="str">
            <v>099</v>
          </cell>
          <cell r="J13" t="str">
            <v>099 Grey/Navy/Aqua</v>
          </cell>
          <cell r="K13" t="str">
            <v>Carry Over</v>
          </cell>
          <cell r="L13">
            <v>45809</v>
          </cell>
          <cell r="M13">
            <v>46023</v>
          </cell>
        </row>
        <row r="13">
          <cell r="O13" t="str">
            <v>Inline</v>
          </cell>
        </row>
        <row r="13">
          <cell r="Q13" t="str">
            <v>F2025</v>
          </cell>
          <cell r="R13" t="str">
            <v>6-12</v>
          </cell>
          <cell r="S13">
            <v>140</v>
          </cell>
          <cell r="T13">
            <v>70</v>
          </cell>
          <cell r="U13">
            <v>200</v>
          </cell>
          <cell r="V13">
            <v>100</v>
          </cell>
          <cell r="W13">
            <v>120</v>
          </cell>
          <cell r="X13">
            <v>60</v>
          </cell>
          <cell r="Y13">
            <v>1800</v>
          </cell>
          <cell r="Z13">
            <v>900</v>
          </cell>
          <cell r="AA13">
            <v>1800</v>
          </cell>
          <cell r="AB13">
            <v>900</v>
          </cell>
          <cell r="AC13">
            <v>1400</v>
          </cell>
          <cell r="AD13">
            <v>700</v>
          </cell>
        </row>
        <row r="14">
          <cell r="A14" t="str">
            <v>1103181B072</v>
          </cell>
          <cell r="B14" t="str">
            <v>Addiction Walker 2</v>
          </cell>
          <cell r="C14" t="str">
            <v>ADDICTION WALKER</v>
          </cell>
          <cell r="D14" t="str">
            <v>ADDICTION WALKER</v>
          </cell>
          <cell r="E14" t="str">
            <v>WALKING</v>
          </cell>
          <cell r="F14" t="str">
            <v>mens</v>
          </cell>
          <cell r="G14" t="str">
            <v>110318</v>
          </cell>
          <cell r="H14" t="str">
            <v>1B</v>
          </cell>
          <cell r="I14" t="str">
            <v>072</v>
          </cell>
          <cell r="J14" t="str">
            <v>072 Black/Black</v>
          </cell>
          <cell r="K14" t="str">
            <v>Carry Over</v>
          </cell>
          <cell r="L14">
            <v>45809</v>
          </cell>
          <cell r="M14">
            <v>46174</v>
          </cell>
        </row>
        <row r="14">
          <cell r="O14" t="str">
            <v>Inline</v>
          </cell>
        </row>
        <row r="14">
          <cell r="Q14" t="str">
            <v>F2025</v>
          </cell>
          <cell r="R14" t="str">
            <v>7-13, 14, 15</v>
          </cell>
          <cell r="S14">
            <v>140</v>
          </cell>
          <cell r="T14">
            <v>70</v>
          </cell>
          <cell r="U14">
            <v>200</v>
          </cell>
          <cell r="V14">
            <v>100</v>
          </cell>
          <cell r="W14">
            <v>120</v>
          </cell>
          <cell r="X14">
            <v>60</v>
          </cell>
          <cell r="Y14">
            <v>1800</v>
          </cell>
          <cell r="Z14">
            <v>900</v>
          </cell>
          <cell r="AA14">
            <v>1800</v>
          </cell>
          <cell r="AB14">
            <v>900</v>
          </cell>
          <cell r="AC14">
            <v>1300</v>
          </cell>
          <cell r="AD14">
            <v>650</v>
          </cell>
        </row>
        <row r="15">
          <cell r="A15" t="str">
            <v>1103181D072</v>
          </cell>
          <cell r="B15" t="str">
            <v>Addiction Walker 2</v>
          </cell>
          <cell r="C15" t="str">
            <v>ADDICTION WALKER</v>
          </cell>
          <cell r="D15" t="str">
            <v>ADDICTION WALKER</v>
          </cell>
          <cell r="E15" t="str">
            <v>WALKING</v>
          </cell>
          <cell r="F15" t="str">
            <v>mens</v>
          </cell>
          <cell r="G15" t="str">
            <v>110318</v>
          </cell>
          <cell r="H15" t="str">
            <v>1D</v>
          </cell>
          <cell r="I15" t="str">
            <v>072</v>
          </cell>
          <cell r="J15" t="str">
            <v>072 Black/Black</v>
          </cell>
          <cell r="K15" t="str">
            <v>Carry Over</v>
          </cell>
          <cell r="L15">
            <v>45809</v>
          </cell>
          <cell r="M15">
            <v>46174</v>
          </cell>
        </row>
        <row r="15">
          <cell r="O15" t="str">
            <v>Inline</v>
          </cell>
        </row>
        <row r="15">
          <cell r="Q15" t="str">
            <v>F2025</v>
          </cell>
          <cell r="R15" t="str">
            <v>7-13, 14, 15</v>
          </cell>
          <cell r="S15">
            <v>140</v>
          </cell>
          <cell r="T15">
            <v>70</v>
          </cell>
          <cell r="U15">
            <v>200</v>
          </cell>
          <cell r="V15">
            <v>100</v>
          </cell>
          <cell r="W15">
            <v>120</v>
          </cell>
          <cell r="X15">
            <v>60</v>
          </cell>
          <cell r="Y15">
            <v>1800</v>
          </cell>
          <cell r="Z15">
            <v>900</v>
          </cell>
          <cell r="AA15">
            <v>1800</v>
          </cell>
          <cell r="AB15">
            <v>900</v>
          </cell>
          <cell r="AC15">
            <v>1300</v>
          </cell>
          <cell r="AD15">
            <v>650</v>
          </cell>
        </row>
        <row r="16">
          <cell r="A16" t="str">
            <v>1103182E072</v>
          </cell>
          <cell r="B16" t="str">
            <v>Addiction Walker 2</v>
          </cell>
          <cell r="C16" t="str">
            <v>ADDICTION WALKER</v>
          </cell>
          <cell r="D16" t="str">
            <v>ADDICTION WALKER</v>
          </cell>
          <cell r="E16" t="str">
            <v>WALKING</v>
          </cell>
          <cell r="F16" t="str">
            <v>mens</v>
          </cell>
          <cell r="G16" t="str">
            <v>110318</v>
          </cell>
          <cell r="H16" t="str">
            <v>2E</v>
          </cell>
          <cell r="I16" t="str">
            <v>072</v>
          </cell>
          <cell r="J16" t="str">
            <v>072 Black/Black</v>
          </cell>
          <cell r="K16" t="str">
            <v>Carry Over</v>
          </cell>
          <cell r="L16">
            <v>45809</v>
          </cell>
          <cell r="M16">
            <v>46174</v>
          </cell>
        </row>
        <row r="16">
          <cell r="O16" t="str">
            <v>Inline</v>
          </cell>
        </row>
        <row r="16">
          <cell r="Q16" t="str">
            <v>F2025</v>
          </cell>
          <cell r="R16" t="str">
            <v>8-13, 14, 15</v>
          </cell>
          <cell r="S16">
            <v>140</v>
          </cell>
          <cell r="T16">
            <v>70</v>
          </cell>
          <cell r="U16">
            <v>200</v>
          </cell>
          <cell r="V16">
            <v>100</v>
          </cell>
          <cell r="W16">
            <v>120</v>
          </cell>
          <cell r="X16">
            <v>60</v>
          </cell>
          <cell r="Y16">
            <v>1800</v>
          </cell>
          <cell r="Z16">
            <v>900</v>
          </cell>
          <cell r="AA16">
            <v>1800</v>
          </cell>
          <cell r="AB16">
            <v>900</v>
          </cell>
          <cell r="AC16">
            <v>1300</v>
          </cell>
          <cell r="AD16">
            <v>650</v>
          </cell>
        </row>
        <row r="17">
          <cell r="A17" t="str">
            <v>1103184E072</v>
          </cell>
          <cell r="B17" t="str">
            <v>Addiction Walker 2</v>
          </cell>
          <cell r="C17" t="str">
            <v>ADDICTION WALKER</v>
          </cell>
          <cell r="D17" t="str">
            <v>ADDICTION WALKER</v>
          </cell>
          <cell r="E17" t="str">
            <v>WALKING</v>
          </cell>
          <cell r="F17" t="str">
            <v>mens</v>
          </cell>
          <cell r="G17" t="str">
            <v>110318</v>
          </cell>
          <cell r="H17" t="str">
            <v>4E</v>
          </cell>
          <cell r="I17" t="str">
            <v>072</v>
          </cell>
          <cell r="J17" t="str">
            <v>072 Black/Black</v>
          </cell>
          <cell r="K17" t="str">
            <v>Carry Over</v>
          </cell>
          <cell r="L17">
            <v>45809</v>
          </cell>
          <cell r="M17">
            <v>46174</v>
          </cell>
        </row>
        <row r="17">
          <cell r="O17" t="str">
            <v>Inline</v>
          </cell>
        </row>
        <row r="17">
          <cell r="Q17" t="str">
            <v>F2025</v>
          </cell>
          <cell r="R17" t="str">
            <v>8-13, 14, 15</v>
          </cell>
          <cell r="S17">
            <v>140</v>
          </cell>
          <cell r="T17">
            <v>70</v>
          </cell>
          <cell r="U17">
            <v>200</v>
          </cell>
          <cell r="V17">
            <v>100</v>
          </cell>
          <cell r="W17">
            <v>120</v>
          </cell>
          <cell r="X17">
            <v>60</v>
          </cell>
          <cell r="Y17">
            <v>1800</v>
          </cell>
          <cell r="Z17">
            <v>900</v>
          </cell>
          <cell r="AA17">
            <v>1800</v>
          </cell>
          <cell r="AB17">
            <v>900</v>
          </cell>
          <cell r="AC17">
            <v>1300</v>
          </cell>
          <cell r="AD17">
            <v>650</v>
          </cell>
        </row>
        <row r="18">
          <cell r="A18" t="str">
            <v>1103181D142</v>
          </cell>
          <cell r="B18" t="str">
            <v>Addiction Walker 2</v>
          </cell>
          <cell r="C18" t="str">
            <v>ADDICTION WALKER</v>
          </cell>
          <cell r="D18" t="str">
            <v>ADDICTION WALKER</v>
          </cell>
          <cell r="E18" t="str">
            <v>WALKING</v>
          </cell>
          <cell r="F18" t="str">
            <v>mens</v>
          </cell>
          <cell r="G18" t="str">
            <v>110318</v>
          </cell>
          <cell r="H18" t="str">
            <v>1D</v>
          </cell>
          <cell r="I18" t="str">
            <v>142</v>
          </cell>
          <cell r="J18" t="str">
            <v>142 White/White</v>
          </cell>
          <cell r="K18" t="str">
            <v>Carry Over</v>
          </cell>
          <cell r="L18">
            <v>45809</v>
          </cell>
          <cell r="M18">
            <v>46174</v>
          </cell>
        </row>
        <row r="18">
          <cell r="O18" t="str">
            <v>Inline</v>
          </cell>
        </row>
        <row r="18">
          <cell r="Q18" t="str">
            <v>F2025</v>
          </cell>
          <cell r="R18" t="str">
            <v>7-13, 14, 15</v>
          </cell>
          <cell r="S18">
            <v>140</v>
          </cell>
          <cell r="T18">
            <v>70</v>
          </cell>
          <cell r="U18">
            <v>200</v>
          </cell>
          <cell r="V18">
            <v>100</v>
          </cell>
          <cell r="W18">
            <v>120</v>
          </cell>
          <cell r="X18">
            <v>60</v>
          </cell>
          <cell r="Y18">
            <v>1800</v>
          </cell>
          <cell r="Z18">
            <v>900</v>
          </cell>
          <cell r="AA18">
            <v>1800</v>
          </cell>
          <cell r="AB18">
            <v>900</v>
          </cell>
          <cell r="AC18">
            <v>1300</v>
          </cell>
          <cell r="AD18">
            <v>650</v>
          </cell>
        </row>
        <row r="19">
          <cell r="A19" t="str">
            <v>1203071B072</v>
          </cell>
          <cell r="B19" t="str">
            <v>Addiction Walker 2</v>
          </cell>
          <cell r="C19" t="str">
            <v>ADDICTION WALKER</v>
          </cell>
          <cell r="D19" t="str">
            <v>ADDICTION WALKER</v>
          </cell>
          <cell r="E19" t="str">
            <v>WALKING</v>
          </cell>
          <cell r="F19" t="str">
            <v>womens</v>
          </cell>
          <cell r="G19" t="str">
            <v>120307</v>
          </cell>
          <cell r="H19" t="str">
            <v>1B</v>
          </cell>
          <cell r="I19" t="str">
            <v>072</v>
          </cell>
          <cell r="J19" t="str">
            <v>072 Black/Black</v>
          </cell>
          <cell r="K19" t="str">
            <v>Carry Over</v>
          </cell>
          <cell r="L19">
            <v>45809</v>
          </cell>
          <cell r="M19">
            <v>46174</v>
          </cell>
        </row>
        <row r="19">
          <cell r="O19" t="str">
            <v>Inline</v>
          </cell>
        </row>
        <row r="19">
          <cell r="Q19" t="str">
            <v>F2025</v>
          </cell>
          <cell r="R19" t="str">
            <v>5-12</v>
          </cell>
          <cell r="S19">
            <v>140</v>
          </cell>
          <cell r="T19">
            <v>70</v>
          </cell>
          <cell r="U19">
            <v>200</v>
          </cell>
          <cell r="V19">
            <v>100</v>
          </cell>
          <cell r="W19">
            <v>120</v>
          </cell>
          <cell r="X19">
            <v>60</v>
          </cell>
          <cell r="Y19">
            <v>1800</v>
          </cell>
          <cell r="Z19">
            <v>900</v>
          </cell>
          <cell r="AA19">
            <v>1800</v>
          </cell>
          <cell r="AB19">
            <v>900</v>
          </cell>
          <cell r="AC19">
            <v>1300</v>
          </cell>
          <cell r="AD19">
            <v>650</v>
          </cell>
        </row>
        <row r="20">
          <cell r="A20" t="str">
            <v>1203071D072</v>
          </cell>
          <cell r="B20" t="str">
            <v>Addiction Walker 2</v>
          </cell>
          <cell r="C20" t="str">
            <v>ADDICTION WALKER</v>
          </cell>
          <cell r="D20" t="str">
            <v>ADDICTION WALKER</v>
          </cell>
          <cell r="E20" t="str">
            <v>WALKING</v>
          </cell>
          <cell r="F20" t="str">
            <v>womens</v>
          </cell>
          <cell r="G20" t="str">
            <v>120307</v>
          </cell>
          <cell r="H20" t="str">
            <v>1D</v>
          </cell>
          <cell r="I20" t="str">
            <v>072</v>
          </cell>
          <cell r="J20" t="str">
            <v>072 Black/Black</v>
          </cell>
          <cell r="K20" t="str">
            <v>Carry Over</v>
          </cell>
          <cell r="L20">
            <v>45809</v>
          </cell>
          <cell r="M20">
            <v>46174</v>
          </cell>
        </row>
        <row r="20">
          <cell r="O20" t="str">
            <v>Inline</v>
          </cell>
        </row>
        <row r="20">
          <cell r="Q20" t="str">
            <v>F2025</v>
          </cell>
          <cell r="R20" t="str">
            <v>5-12</v>
          </cell>
          <cell r="S20">
            <v>140</v>
          </cell>
          <cell r="T20">
            <v>70</v>
          </cell>
          <cell r="U20">
            <v>200</v>
          </cell>
          <cell r="V20">
            <v>100</v>
          </cell>
          <cell r="W20">
            <v>120</v>
          </cell>
          <cell r="X20">
            <v>60</v>
          </cell>
          <cell r="Y20">
            <v>1800</v>
          </cell>
          <cell r="Z20">
            <v>900</v>
          </cell>
          <cell r="AA20">
            <v>1800</v>
          </cell>
          <cell r="AB20">
            <v>900</v>
          </cell>
          <cell r="AC20">
            <v>1300</v>
          </cell>
          <cell r="AD20">
            <v>650</v>
          </cell>
        </row>
        <row r="21">
          <cell r="A21" t="str">
            <v>1203072E072</v>
          </cell>
          <cell r="B21" t="str">
            <v>Addiction Walker 2</v>
          </cell>
          <cell r="C21" t="str">
            <v>ADDICTION WALKER</v>
          </cell>
          <cell r="D21" t="str">
            <v>ADDICTION WALKER</v>
          </cell>
          <cell r="E21" t="str">
            <v>WALKING</v>
          </cell>
          <cell r="F21" t="str">
            <v>womens</v>
          </cell>
          <cell r="G21" t="str">
            <v>120307</v>
          </cell>
          <cell r="H21" t="str">
            <v>2E</v>
          </cell>
          <cell r="I21" t="str">
            <v>072</v>
          </cell>
          <cell r="J21" t="str">
            <v>072 Black/Black</v>
          </cell>
          <cell r="K21" t="str">
            <v>Carry Over</v>
          </cell>
          <cell r="L21">
            <v>45809</v>
          </cell>
          <cell r="M21">
            <v>46174</v>
          </cell>
        </row>
        <row r="21">
          <cell r="O21" t="str">
            <v>Inline</v>
          </cell>
        </row>
        <row r="21">
          <cell r="Q21" t="str">
            <v>F2025</v>
          </cell>
          <cell r="R21" t="str">
            <v>6-12</v>
          </cell>
          <cell r="S21">
            <v>140</v>
          </cell>
          <cell r="T21">
            <v>70</v>
          </cell>
          <cell r="U21">
            <v>200</v>
          </cell>
          <cell r="V21">
            <v>100</v>
          </cell>
          <cell r="W21">
            <v>120</v>
          </cell>
          <cell r="X21">
            <v>60</v>
          </cell>
          <cell r="Y21">
            <v>1800</v>
          </cell>
          <cell r="Z21">
            <v>900</v>
          </cell>
          <cell r="AA21">
            <v>1800</v>
          </cell>
          <cell r="AB21">
            <v>900</v>
          </cell>
          <cell r="AC21">
            <v>1300</v>
          </cell>
          <cell r="AD21">
            <v>650</v>
          </cell>
        </row>
        <row r="22">
          <cell r="A22" t="str">
            <v>1203071B142</v>
          </cell>
          <cell r="B22" t="str">
            <v>Addiction Walker 2</v>
          </cell>
          <cell r="C22" t="str">
            <v>ADDICTION WALKER</v>
          </cell>
          <cell r="D22" t="str">
            <v>ADDICTION WALKER</v>
          </cell>
          <cell r="E22" t="str">
            <v>WALKING</v>
          </cell>
          <cell r="F22" t="str">
            <v>womens</v>
          </cell>
          <cell r="G22" t="str">
            <v>120307</v>
          </cell>
          <cell r="H22" t="str">
            <v>1B</v>
          </cell>
          <cell r="I22" t="str">
            <v>142</v>
          </cell>
          <cell r="J22" t="str">
            <v>142 White/White</v>
          </cell>
          <cell r="K22" t="str">
            <v>Carry Over</v>
          </cell>
          <cell r="L22">
            <v>45809</v>
          </cell>
          <cell r="M22">
            <v>46174</v>
          </cell>
        </row>
        <row r="22">
          <cell r="O22" t="str">
            <v>Inline</v>
          </cell>
        </row>
        <row r="22">
          <cell r="Q22" t="str">
            <v>F2025</v>
          </cell>
          <cell r="R22" t="str">
            <v>5-12</v>
          </cell>
          <cell r="S22">
            <v>140</v>
          </cell>
          <cell r="T22">
            <v>70</v>
          </cell>
          <cell r="U22">
            <v>200</v>
          </cell>
          <cell r="V22">
            <v>100</v>
          </cell>
          <cell r="W22">
            <v>120</v>
          </cell>
          <cell r="X22">
            <v>60</v>
          </cell>
          <cell r="Y22">
            <v>1800</v>
          </cell>
          <cell r="Z22">
            <v>900</v>
          </cell>
          <cell r="AA22">
            <v>1800</v>
          </cell>
          <cell r="AB22">
            <v>900</v>
          </cell>
          <cell r="AC22">
            <v>1300</v>
          </cell>
          <cell r="AD22">
            <v>650</v>
          </cell>
        </row>
        <row r="23">
          <cell r="A23" t="str">
            <v>1103201D072</v>
          </cell>
          <cell r="B23" t="str">
            <v>Addiction Walker V-Strap 2</v>
          </cell>
          <cell r="C23" t="str">
            <v>ADDICTION WALKER V-STRAP</v>
          </cell>
          <cell r="D23" t="str">
            <v>ADDICTION WK V</v>
          </cell>
          <cell r="E23" t="str">
            <v>WALKING</v>
          </cell>
          <cell r="F23" t="str">
            <v>mens</v>
          </cell>
          <cell r="G23" t="str">
            <v>110320</v>
          </cell>
          <cell r="H23" t="str">
            <v>1D</v>
          </cell>
          <cell r="I23" t="str">
            <v>072</v>
          </cell>
          <cell r="J23" t="str">
            <v>072 Black/Black</v>
          </cell>
          <cell r="K23" t="str">
            <v>Carry Over</v>
          </cell>
          <cell r="L23">
            <v>45809</v>
          </cell>
          <cell r="M23">
            <v>46174</v>
          </cell>
        </row>
        <row r="23">
          <cell r="O23" t="str">
            <v>Inline</v>
          </cell>
        </row>
        <row r="23">
          <cell r="Q23" t="str">
            <v>F2025</v>
          </cell>
          <cell r="R23" t="str">
            <v>7-13, 14, 15</v>
          </cell>
          <cell r="S23">
            <v>140</v>
          </cell>
          <cell r="T23">
            <v>70</v>
          </cell>
          <cell r="U23">
            <v>200</v>
          </cell>
          <cell r="V23">
            <v>100</v>
          </cell>
          <cell r="W23">
            <v>120</v>
          </cell>
          <cell r="X23">
            <v>60</v>
          </cell>
          <cell r="Y23">
            <v>1800</v>
          </cell>
          <cell r="Z23">
            <v>900</v>
          </cell>
          <cell r="AA23">
            <v>1800</v>
          </cell>
          <cell r="AB23">
            <v>900</v>
          </cell>
          <cell r="AC23">
            <v>1300</v>
          </cell>
          <cell r="AD23">
            <v>650</v>
          </cell>
        </row>
        <row r="24">
          <cell r="A24" t="str">
            <v>1103202E072</v>
          </cell>
          <cell r="B24" t="str">
            <v>Addiction Walker V-Strap 2</v>
          </cell>
          <cell r="C24" t="str">
            <v>ADDICTION WALKER V-STRAP</v>
          </cell>
          <cell r="D24" t="str">
            <v>ADDICTION WK V</v>
          </cell>
          <cell r="E24" t="str">
            <v>WALKING</v>
          </cell>
          <cell r="F24" t="str">
            <v>mens</v>
          </cell>
          <cell r="G24" t="str">
            <v>110320</v>
          </cell>
          <cell r="H24" t="str">
            <v>2E</v>
          </cell>
          <cell r="I24" t="str">
            <v>072</v>
          </cell>
          <cell r="J24" t="str">
            <v>072 Black/Black</v>
          </cell>
          <cell r="K24" t="str">
            <v>Carry Over</v>
          </cell>
          <cell r="L24">
            <v>45809</v>
          </cell>
          <cell r="M24">
            <v>46174</v>
          </cell>
        </row>
        <row r="24">
          <cell r="O24" t="str">
            <v>Inline</v>
          </cell>
        </row>
        <row r="24">
          <cell r="Q24" t="str">
            <v>F2025</v>
          </cell>
          <cell r="R24" t="str">
            <v>8-13, 14, 15</v>
          </cell>
          <cell r="S24">
            <v>140</v>
          </cell>
          <cell r="T24">
            <v>70</v>
          </cell>
          <cell r="U24">
            <v>200</v>
          </cell>
          <cell r="V24">
            <v>100</v>
          </cell>
          <cell r="W24">
            <v>120</v>
          </cell>
          <cell r="X24">
            <v>60</v>
          </cell>
          <cell r="Y24">
            <v>1800</v>
          </cell>
          <cell r="Z24">
            <v>900</v>
          </cell>
          <cell r="AA24">
            <v>1800</v>
          </cell>
          <cell r="AB24">
            <v>900</v>
          </cell>
          <cell r="AC24">
            <v>1300</v>
          </cell>
          <cell r="AD24">
            <v>650</v>
          </cell>
        </row>
        <row r="25">
          <cell r="A25" t="str">
            <v>1103204E072</v>
          </cell>
          <cell r="B25" t="str">
            <v>Addiction Walker V-Strap 2</v>
          </cell>
          <cell r="C25" t="str">
            <v>ADDICTION WALKER V-STRAP</v>
          </cell>
          <cell r="D25" t="str">
            <v>ADDICTION WK V</v>
          </cell>
          <cell r="E25" t="str">
            <v>WALKING</v>
          </cell>
          <cell r="F25" t="str">
            <v>mens</v>
          </cell>
          <cell r="G25" t="str">
            <v>110320</v>
          </cell>
          <cell r="H25" t="str">
            <v>4E</v>
          </cell>
          <cell r="I25" t="str">
            <v>072</v>
          </cell>
          <cell r="J25" t="str">
            <v>072 Black/Black</v>
          </cell>
          <cell r="K25" t="str">
            <v>Carry Over</v>
          </cell>
          <cell r="L25">
            <v>45809</v>
          </cell>
          <cell r="M25">
            <v>46174</v>
          </cell>
        </row>
        <row r="25">
          <cell r="O25" t="str">
            <v>Inline</v>
          </cell>
        </row>
        <row r="25">
          <cell r="Q25" t="str">
            <v>F2025</v>
          </cell>
          <cell r="R25" t="str">
            <v>8-13, 14, 15</v>
          </cell>
          <cell r="S25">
            <v>140</v>
          </cell>
          <cell r="T25">
            <v>70</v>
          </cell>
          <cell r="U25">
            <v>200</v>
          </cell>
          <cell r="V25">
            <v>100</v>
          </cell>
          <cell r="W25">
            <v>120</v>
          </cell>
          <cell r="X25">
            <v>60</v>
          </cell>
          <cell r="Y25">
            <v>1800</v>
          </cell>
          <cell r="Z25">
            <v>900</v>
          </cell>
          <cell r="AA25">
            <v>1800</v>
          </cell>
          <cell r="AB25">
            <v>900</v>
          </cell>
          <cell r="AC25">
            <v>1300</v>
          </cell>
          <cell r="AD25">
            <v>650</v>
          </cell>
        </row>
        <row r="26">
          <cell r="A26" t="str">
            <v>1103201D142</v>
          </cell>
          <cell r="B26" t="str">
            <v>Addiction Walker V-Strap 2</v>
          </cell>
          <cell r="C26" t="str">
            <v>ADDICTION WALKER V-STRAP</v>
          </cell>
          <cell r="D26" t="str">
            <v>ADDICTION WK V</v>
          </cell>
          <cell r="E26" t="str">
            <v>WALKING</v>
          </cell>
          <cell r="F26" t="str">
            <v>mens</v>
          </cell>
          <cell r="G26" t="str">
            <v>110320</v>
          </cell>
          <cell r="H26" t="str">
            <v>1D</v>
          </cell>
          <cell r="I26" t="str">
            <v>142</v>
          </cell>
          <cell r="J26" t="str">
            <v>142 White/White</v>
          </cell>
          <cell r="K26" t="str">
            <v>Carry Over</v>
          </cell>
          <cell r="L26">
            <v>45809</v>
          </cell>
          <cell r="M26">
            <v>46174</v>
          </cell>
        </row>
        <row r="26">
          <cell r="O26" t="str">
            <v>Inline</v>
          </cell>
        </row>
        <row r="26">
          <cell r="Q26" t="str">
            <v>F2025</v>
          </cell>
          <cell r="R26" t="str">
            <v>7-13, 14, 15</v>
          </cell>
          <cell r="S26">
            <v>140</v>
          </cell>
          <cell r="T26">
            <v>70</v>
          </cell>
          <cell r="U26">
            <v>200</v>
          </cell>
          <cell r="V26">
            <v>100</v>
          </cell>
          <cell r="W26">
            <v>120</v>
          </cell>
          <cell r="X26">
            <v>60</v>
          </cell>
          <cell r="Y26">
            <v>1800</v>
          </cell>
          <cell r="Z26">
            <v>900</v>
          </cell>
          <cell r="AA26">
            <v>1800</v>
          </cell>
          <cell r="AB26">
            <v>900</v>
          </cell>
          <cell r="AC26">
            <v>1300</v>
          </cell>
          <cell r="AD26">
            <v>650</v>
          </cell>
        </row>
        <row r="27">
          <cell r="A27" t="str">
            <v>1203091B072</v>
          </cell>
          <cell r="B27" t="str">
            <v>Addiction Walker V-Strap 2</v>
          </cell>
          <cell r="C27" t="str">
            <v>ADDICTION WALKER V-STRAP</v>
          </cell>
          <cell r="D27" t="str">
            <v>ADDICTION WK V</v>
          </cell>
          <cell r="E27" t="str">
            <v>WALKING</v>
          </cell>
          <cell r="F27" t="str">
            <v>womens</v>
          </cell>
          <cell r="G27" t="str">
            <v>120309</v>
          </cell>
          <cell r="H27" t="str">
            <v>1B</v>
          </cell>
          <cell r="I27" t="str">
            <v>072</v>
          </cell>
          <cell r="J27" t="str">
            <v>072 Black/Black</v>
          </cell>
          <cell r="K27" t="str">
            <v>Carry Over</v>
          </cell>
          <cell r="L27">
            <v>45809</v>
          </cell>
          <cell r="M27">
            <v>46174</v>
          </cell>
        </row>
        <row r="27">
          <cell r="O27" t="str">
            <v>Inline</v>
          </cell>
        </row>
        <row r="27">
          <cell r="Q27" t="str">
            <v>F2025</v>
          </cell>
          <cell r="R27" t="str">
            <v>5-12</v>
          </cell>
          <cell r="S27">
            <v>140</v>
          </cell>
          <cell r="T27">
            <v>70</v>
          </cell>
          <cell r="U27">
            <v>200</v>
          </cell>
          <cell r="V27">
            <v>100</v>
          </cell>
          <cell r="W27">
            <v>120</v>
          </cell>
          <cell r="X27">
            <v>60</v>
          </cell>
          <cell r="Y27">
            <v>1800</v>
          </cell>
          <cell r="Z27">
            <v>900</v>
          </cell>
          <cell r="AA27">
            <v>1800</v>
          </cell>
          <cell r="AB27">
            <v>900</v>
          </cell>
          <cell r="AC27">
            <v>1300</v>
          </cell>
          <cell r="AD27">
            <v>650</v>
          </cell>
        </row>
        <row r="28">
          <cell r="A28" t="str">
            <v>1203091D072</v>
          </cell>
          <cell r="B28" t="str">
            <v>Addiction Walker V-Strap 2</v>
          </cell>
          <cell r="C28" t="str">
            <v>ADDICTION WALKER V-STRAP</v>
          </cell>
          <cell r="D28" t="str">
            <v>ADDICTION WK V</v>
          </cell>
          <cell r="E28" t="str">
            <v>WALKING</v>
          </cell>
          <cell r="F28" t="str">
            <v>womens</v>
          </cell>
          <cell r="G28" t="str">
            <v>120309</v>
          </cell>
          <cell r="H28" t="str">
            <v>1D</v>
          </cell>
          <cell r="I28" t="str">
            <v>072</v>
          </cell>
          <cell r="J28" t="str">
            <v>072 Black/Black</v>
          </cell>
          <cell r="K28" t="str">
            <v>Carry Over</v>
          </cell>
          <cell r="L28">
            <v>45809</v>
          </cell>
          <cell r="M28">
            <v>46174</v>
          </cell>
        </row>
        <row r="28">
          <cell r="O28" t="str">
            <v>Inline</v>
          </cell>
        </row>
        <row r="28">
          <cell r="Q28" t="str">
            <v>F2025</v>
          </cell>
          <cell r="R28" t="str">
            <v>5-12</v>
          </cell>
          <cell r="S28">
            <v>140</v>
          </cell>
          <cell r="T28">
            <v>70</v>
          </cell>
          <cell r="U28">
            <v>200</v>
          </cell>
          <cell r="V28">
            <v>100</v>
          </cell>
          <cell r="W28">
            <v>120</v>
          </cell>
          <cell r="X28">
            <v>60</v>
          </cell>
          <cell r="Y28">
            <v>1800</v>
          </cell>
          <cell r="Z28">
            <v>900</v>
          </cell>
          <cell r="AA28">
            <v>1800</v>
          </cell>
          <cell r="AB28">
            <v>900</v>
          </cell>
          <cell r="AC28">
            <v>1300</v>
          </cell>
          <cell r="AD28">
            <v>650</v>
          </cell>
        </row>
        <row r="29">
          <cell r="A29" t="str">
            <v>1203092E072</v>
          </cell>
          <cell r="B29" t="str">
            <v>Addiction Walker V-Strap 2</v>
          </cell>
          <cell r="C29" t="str">
            <v>ADDICTION WALKER V-STRAP</v>
          </cell>
          <cell r="D29" t="str">
            <v>ADDICTION WK V</v>
          </cell>
          <cell r="E29" t="str">
            <v>WALKING</v>
          </cell>
          <cell r="F29" t="str">
            <v>womens</v>
          </cell>
          <cell r="G29" t="str">
            <v>120309</v>
          </cell>
          <cell r="H29" t="str">
            <v>2E</v>
          </cell>
          <cell r="I29" t="str">
            <v>072</v>
          </cell>
          <cell r="J29" t="str">
            <v>072 Black/Black</v>
          </cell>
          <cell r="K29" t="str">
            <v>Carry Over</v>
          </cell>
          <cell r="L29">
            <v>45809</v>
          </cell>
          <cell r="M29">
            <v>46174</v>
          </cell>
        </row>
        <row r="29">
          <cell r="O29" t="str">
            <v>Inline</v>
          </cell>
        </row>
        <row r="29">
          <cell r="Q29" t="str">
            <v>F2025</v>
          </cell>
          <cell r="R29" t="str">
            <v>6-12</v>
          </cell>
          <cell r="S29">
            <v>140</v>
          </cell>
          <cell r="T29">
            <v>70</v>
          </cell>
          <cell r="U29">
            <v>200</v>
          </cell>
          <cell r="V29">
            <v>100</v>
          </cell>
          <cell r="W29">
            <v>120</v>
          </cell>
          <cell r="X29">
            <v>60</v>
          </cell>
          <cell r="Y29">
            <v>1800</v>
          </cell>
          <cell r="Z29">
            <v>900</v>
          </cell>
          <cell r="AA29">
            <v>1800</v>
          </cell>
          <cell r="AB29">
            <v>900</v>
          </cell>
          <cell r="AC29">
            <v>1300</v>
          </cell>
          <cell r="AD29">
            <v>650</v>
          </cell>
        </row>
        <row r="30">
          <cell r="A30" t="str">
            <v>1203091B142</v>
          </cell>
          <cell r="B30" t="str">
            <v>Addiction Walker V-Strap 2</v>
          </cell>
          <cell r="C30" t="str">
            <v>ADDICTION WALKER V-STRAP</v>
          </cell>
          <cell r="D30" t="str">
            <v>ADDICTION WK V</v>
          </cell>
          <cell r="E30" t="str">
            <v>WALKING</v>
          </cell>
          <cell r="F30" t="str">
            <v>womens</v>
          </cell>
          <cell r="G30" t="str">
            <v>120309</v>
          </cell>
          <cell r="H30" t="str">
            <v>1B</v>
          </cell>
          <cell r="I30" t="str">
            <v>142</v>
          </cell>
          <cell r="J30" t="str">
            <v>142 White/White</v>
          </cell>
          <cell r="K30" t="str">
            <v>Carry Over</v>
          </cell>
          <cell r="L30">
            <v>45809</v>
          </cell>
          <cell r="M30">
            <v>46174</v>
          </cell>
        </row>
        <row r="30">
          <cell r="O30" t="str">
            <v>Inline</v>
          </cell>
        </row>
        <row r="30">
          <cell r="Q30" t="str">
            <v>F2025</v>
          </cell>
          <cell r="R30" t="str">
            <v>5-12</v>
          </cell>
          <cell r="S30">
            <v>140</v>
          </cell>
          <cell r="T30">
            <v>70</v>
          </cell>
          <cell r="U30">
            <v>200</v>
          </cell>
          <cell r="V30">
            <v>100</v>
          </cell>
          <cell r="W30">
            <v>120</v>
          </cell>
          <cell r="X30">
            <v>60</v>
          </cell>
          <cell r="Y30">
            <v>1800</v>
          </cell>
          <cell r="Z30">
            <v>900</v>
          </cell>
          <cell r="AA30">
            <v>1800</v>
          </cell>
          <cell r="AB30">
            <v>900</v>
          </cell>
          <cell r="AC30">
            <v>1300</v>
          </cell>
          <cell r="AD30">
            <v>650</v>
          </cell>
        </row>
        <row r="31">
          <cell r="A31" t="str">
            <v>1104371D020</v>
          </cell>
          <cell r="B31" t="str">
            <v>Adrenaline GTS 24</v>
          </cell>
          <cell r="C31" t="str">
            <v>ADRENALINE GTS</v>
          </cell>
          <cell r="D31" t="str">
            <v>ADRENALINE GTS</v>
          </cell>
          <cell r="E31" t="str">
            <v>SUPPORTIVE CUSHION</v>
          </cell>
          <cell r="F31" t="str">
            <v>mens</v>
          </cell>
          <cell r="G31" t="str">
            <v>110437</v>
          </cell>
          <cell r="H31" t="str">
            <v>1D</v>
          </cell>
          <cell r="I31" t="str">
            <v>020</v>
          </cell>
          <cell r="J31" t="str">
            <v>020 Black/Black/Ebony</v>
          </cell>
          <cell r="K31" t="str">
            <v>Carry Over</v>
          </cell>
          <cell r="L31">
            <v>45809</v>
          </cell>
          <cell r="M31">
            <v>45992</v>
          </cell>
        </row>
        <row r="31">
          <cell r="O31" t="str">
            <v>Inline</v>
          </cell>
        </row>
        <row r="31">
          <cell r="Q31" t="str">
            <v>F2025</v>
          </cell>
          <cell r="R31" t="str">
            <v>7-13, 14, 15</v>
          </cell>
          <cell r="S31">
            <v>150</v>
          </cell>
          <cell r="T31">
            <v>75</v>
          </cell>
          <cell r="U31">
            <v>200</v>
          </cell>
          <cell r="V31">
            <v>100</v>
          </cell>
          <cell r="W31">
            <v>135</v>
          </cell>
          <cell r="X31">
            <v>67.5</v>
          </cell>
          <cell r="Y31">
            <v>1800</v>
          </cell>
          <cell r="Z31">
            <v>900</v>
          </cell>
          <cell r="AA31">
            <v>1800</v>
          </cell>
          <cell r="AB31">
            <v>900</v>
          </cell>
          <cell r="AC31">
            <v>1350</v>
          </cell>
          <cell r="AD31">
            <v>675</v>
          </cell>
        </row>
        <row r="32">
          <cell r="A32" t="str">
            <v>1104372E020</v>
          </cell>
          <cell r="B32" t="str">
            <v>Adrenaline GTS 24</v>
          </cell>
          <cell r="C32" t="str">
            <v>ADRENALINE GTS</v>
          </cell>
          <cell r="D32" t="str">
            <v>ADRENALINE GTS</v>
          </cell>
          <cell r="E32" t="str">
            <v>SUPPORTIVE CUSHION</v>
          </cell>
          <cell r="F32" t="str">
            <v>mens</v>
          </cell>
          <cell r="G32" t="str">
            <v>110437</v>
          </cell>
          <cell r="H32" t="str">
            <v>2E</v>
          </cell>
          <cell r="I32" t="str">
            <v>020</v>
          </cell>
          <cell r="J32" t="str">
            <v>020 Black/Black/Ebony</v>
          </cell>
          <cell r="K32" t="str">
            <v>Carry Over</v>
          </cell>
          <cell r="L32">
            <v>45809</v>
          </cell>
          <cell r="M32">
            <v>45992</v>
          </cell>
        </row>
        <row r="32">
          <cell r="O32" t="str">
            <v>Inline</v>
          </cell>
        </row>
        <row r="32">
          <cell r="Q32" t="str">
            <v>F2025</v>
          </cell>
          <cell r="R32" t="str">
            <v>7-13, 14, 15</v>
          </cell>
          <cell r="S32">
            <v>150</v>
          </cell>
          <cell r="T32">
            <v>75</v>
          </cell>
          <cell r="U32">
            <v>200</v>
          </cell>
          <cell r="V32">
            <v>100</v>
          </cell>
          <cell r="W32">
            <v>135</v>
          </cell>
          <cell r="X32">
            <v>67.5</v>
          </cell>
          <cell r="Y32">
            <v>1800</v>
          </cell>
          <cell r="Z32">
            <v>900</v>
          </cell>
          <cell r="AA32">
            <v>1800</v>
          </cell>
          <cell r="AB32">
            <v>900</v>
          </cell>
          <cell r="AC32">
            <v>1350</v>
          </cell>
          <cell r="AD32">
            <v>675</v>
          </cell>
        </row>
        <row r="33">
          <cell r="A33" t="str">
            <v>1104374E020</v>
          </cell>
          <cell r="B33" t="str">
            <v>Adrenaline GTS 24</v>
          </cell>
          <cell r="C33" t="str">
            <v>ADRENALINE GTS</v>
          </cell>
          <cell r="D33" t="str">
            <v>ADRENALINE GTS</v>
          </cell>
          <cell r="E33" t="str">
            <v>SUPPORTIVE CUSHION</v>
          </cell>
          <cell r="F33" t="str">
            <v>mens</v>
          </cell>
          <cell r="G33" t="str">
            <v>110437</v>
          </cell>
          <cell r="H33" t="str">
            <v>4E</v>
          </cell>
          <cell r="I33" t="str">
            <v>020</v>
          </cell>
          <cell r="J33" t="str">
            <v>020 Black/Black/Ebony</v>
          </cell>
          <cell r="K33" t="str">
            <v>Carry Over</v>
          </cell>
          <cell r="L33">
            <v>45809</v>
          </cell>
          <cell r="M33">
            <v>45992</v>
          </cell>
        </row>
        <row r="33">
          <cell r="O33" t="str">
            <v>Inline</v>
          </cell>
        </row>
        <row r="33">
          <cell r="Q33" t="str">
            <v>F2025</v>
          </cell>
          <cell r="R33" t="str">
            <v>7-13, 14, 15</v>
          </cell>
          <cell r="S33">
            <v>150</v>
          </cell>
          <cell r="T33">
            <v>75</v>
          </cell>
          <cell r="U33">
            <v>200</v>
          </cell>
          <cell r="V33">
            <v>100</v>
          </cell>
          <cell r="W33">
            <v>135</v>
          </cell>
          <cell r="X33">
            <v>67.5</v>
          </cell>
          <cell r="Y33">
            <v>1800</v>
          </cell>
          <cell r="Z33">
            <v>900</v>
          </cell>
          <cell r="AA33">
            <v>1800</v>
          </cell>
          <cell r="AB33">
            <v>900</v>
          </cell>
          <cell r="AC33">
            <v>1350</v>
          </cell>
          <cell r="AD33">
            <v>675</v>
          </cell>
        </row>
        <row r="34">
          <cell r="A34" t="str">
            <v>1104371D095</v>
          </cell>
          <cell r="B34" t="str">
            <v>Adrenaline GTS 24</v>
          </cell>
          <cell r="C34" t="str">
            <v>ADRENALINE GTS</v>
          </cell>
          <cell r="D34" t="str">
            <v>ADRENALINE GTS</v>
          </cell>
          <cell r="E34" t="str">
            <v>SUPPORTIVE CUSHION</v>
          </cell>
          <cell r="F34" t="str">
            <v>mens</v>
          </cell>
          <cell r="G34" t="str">
            <v>110437</v>
          </cell>
          <cell r="H34" t="str">
            <v>1D</v>
          </cell>
          <cell r="I34" t="str">
            <v>095</v>
          </cell>
          <cell r="J34" t="str">
            <v>095 Black/Ebony/Cloissonne</v>
          </cell>
          <cell r="K34" t="str">
            <v>New Color</v>
          </cell>
          <cell r="L34">
            <v>45809</v>
          </cell>
          <cell r="M34">
            <v>45992</v>
          </cell>
        </row>
        <row r="34">
          <cell r="O34" t="str">
            <v>Inline</v>
          </cell>
        </row>
        <row r="34">
          <cell r="Q34" t="str">
            <v>F2025</v>
          </cell>
          <cell r="R34" t="str">
            <v>7-13, 14, 15</v>
          </cell>
          <cell r="S34">
            <v>150</v>
          </cell>
          <cell r="T34">
            <v>75</v>
          </cell>
          <cell r="U34">
            <v>200</v>
          </cell>
          <cell r="V34">
            <v>100</v>
          </cell>
          <cell r="W34">
            <v>135</v>
          </cell>
          <cell r="X34">
            <v>67.5</v>
          </cell>
          <cell r="Y34">
            <v>1800</v>
          </cell>
          <cell r="Z34">
            <v>900</v>
          </cell>
          <cell r="AA34">
            <v>1800</v>
          </cell>
          <cell r="AB34">
            <v>900</v>
          </cell>
          <cell r="AC34">
            <v>1350</v>
          </cell>
          <cell r="AD34">
            <v>675</v>
          </cell>
        </row>
        <row r="35">
          <cell r="A35" t="str">
            <v>1104371D104</v>
          </cell>
          <cell r="B35" t="str">
            <v>Adrenaline GTS 24</v>
          </cell>
          <cell r="C35" t="str">
            <v>ADRENALINE GTS</v>
          </cell>
          <cell r="D35" t="str">
            <v>ADRENALINE GTS</v>
          </cell>
          <cell r="E35" t="str">
            <v>SUPPORTIVE CUSHION</v>
          </cell>
          <cell r="F35" t="str">
            <v>mens</v>
          </cell>
          <cell r="G35" t="str">
            <v>110437</v>
          </cell>
          <cell r="H35" t="str">
            <v>1D</v>
          </cell>
          <cell r="I35" t="str">
            <v>104</v>
          </cell>
          <cell r="J35" t="str">
            <v>104 Coconut/Portabella/Orange</v>
          </cell>
          <cell r="K35" t="str">
            <v>New Color</v>
          </cell>
          <cell r="L35">
            <v>45809</v>
          </cell>
          <cell r="M35">
            <v>45992</v>
          </cell>
        </row>
        <row r="35">
          <cell r="O35" t="str">
            <v>Inline</v>
          </cell>
        </row>
        <row r="35">
          <cell r="Q35" t="str">
            <v>F2025</v>
          </cell>
          <cell r="R35" t="str">
            <v>7-13, 14, 15</v>
          </cell>
          <cell r="S35">
            <v>150</v>
          </cell>
          <cell r="T35">
            <v>75</v>
          </cell>
          <cell r="U35">
            <v>200</v>
          </cell>
          <cell r="V35">
            <v>100</v>
          </cell>
          <cell r="W35">
            <v>135</v>
          </cell>
          <cell r="X35">
            <v>67.5</v>
          </cell>
          <cell r="Y35">
            <v>1800</v>
          </cell>
          <cell r="Z35">
            <v>900</v>
          </cell>
          <cell r="AA35">
            <v>1800</v>
          </cell>
          <cell r="AB35">
            <v>900</v>
          </cell>
          <cell r="AC35">
            <v>1350</v>
          </cell>
          <cell r="AD35">
            <v>675</v>
          </cell>
        </row>
        <row r="36">
          <cell r="A36" t="str">
            <v>1104371D118</v>
          </cell>
          <cell r="B36" t="str">
            <v>Adrenaline GTS 24</v>
          </cell>
          <cell r="C36" t="str">
            <v>ADRENALINE GTS</v>
          </cell>
          <cell r="D36" t="str">
            <v>ADRENALINE GTS</v>
          </cell>
          <cell r="E36" t="str">
            <v>SUPPORTIVE CUSHION</v>
          </cell>
          <cell r="F36" t="str">
            <v>mens</v>
          </cell>
          <cell r="G36" t="str">
            <v>110437</v>
          </cell>
          <cell r="H36" t="str">
            <v>1D</v>
          </cell>
          <cell r="I36" t="str">
            <v>118</v>
          </cell>
          <cell r="J36" t="str">
            <v>118 White/Gecko/Atomizer</v>
          </cell>
          <cell r="K36" t="str">
            <v>New Color</v>
          </cell>
          <cell r="L36">
            <v>45809</v>
          </cell>
          <cell r="M36">
            <v>45992</v>
          </cell>
        </row>
        <row r="36">
          <cell r="O36" t="str">
            <v>Inline</v>
          </cell>
        </row>
        <row r="36">
          <cell r="Q36" t="str">
            <v>F2025</v>
          </cell>
          <cell r="R36" t="str">
            <v>7-13, 14, 15</v>
          </cell>
          <cell r="S36">
            <v>150</v>
          </cell>
          <cell r="T36">
            <v>75</v>
          </cell>
          <cell r="U36">
            <v>200</v>
          </cell>
          <cell r="V36">
            <v>100</v>
          </cell>
          <cell r="W36">
            <v>135</v>
          </cell>
          <cell r="X36">
            <v>67.5</v>
          </cell>
          <cell r="Y36">
            <v>1800</v>
          </cell>
          <cell r="Z36">
            <v>900</v>
          </cell>
          <cell r="AA36">
            <v>1800</v>
          </cell>
          <cell r="AB36">
            <v>900</v>
          </cell>
          <cell r="AC36">
            <v>1350</v>
          </cell>
          <cell r="AD36">
            <v>675</v>
          </cell>
        </row>
        <row r="37">
          <cell r="A37" t="str">
            <v>1104371D336</v>
          </cell>
          <cell r="B37" t="str">
            <v>Adrenaline GTS 24</v>
          </cell>
          <cell r="C37" t="str">
            <v>ADRENALINE GTS</v>
          </cell>
          <cell r="D37" t="str">
            <v>ADRENALINE GTS</v>
          </cell>
          <cell r="E37" t="str">
            <v>SUPPORTIVE CUSHION</v>
          </cell>
          <cell r="F37" t="str">
            <v>mens</v>
          </cell>
          <cell r="G37" t="str">
            <v>110437</v>
          </cell>
          <cell r="H37" t="str">
            <v>1D</v>
          </cell>
          <cell r="I37" t="str">
            <v>336</v>
          </cell>
          <cell r="J37" t="str">
            <v>336 Acid Lime/Sunny Lime/Navy</v>
          </cell>
          <cell r="K37" t="str">
            <v>New Color</v>
          </cell>
          <cell r="L37">
            <v>45809</v>
          </cell>
          <cell r="M37">
            <v>45992</v>
          </cell>
        </row>
        <row r="37">
          <cell r="O37" t="str">
            <v>Inline</v>
          </cell>
        </row>
        <row r="37">
          <cell r="Q37" t="str">
            <v>F2025</v>
          </cell>
          <cell r="R37" t="str">
            <v>7-13, 14, 15</v>
          </cell>
          <cell r="S37">
            <v>150</v>
          </cell>
          <cell r="T37">
            <v>75</v>
          </cell>
          <cell r="U37">
            <v>200</v>
          </cell>
          <cell r="V37">
            <v>100</v>
          </cell>
          <cell r="W37">
            <v>135</v>
          </cell>
          <cell r="X37">
            <v>67.5</v>
          </cell>
          <cell r="Y37">
            <v>1800</v>
          </cell>
          <cell r="Z37">
            <v>900</v>
          </cell>
          <cell r="AA37">
            <v>1800</v>
          </cell>
          <cell r="AB37">
            <v>900</v>
          </cell>
          <cell r="AC37">
            <v>1350</v>
          </cell>
          <cell r="AD37">
            <v>675</v>
          </cell>
        </row>
        <row r="38">
          <cell r="A38" t="str">
            <v>1104371D425</v>
          </cell>
          <cell r="B38" t="str">
            <v>Adrenaline GTS 24</v>
          </cell>
          <cell r="C38" t="str">
            <v>ADRENALINE GTS</v>
          </cell>
          <cell r="D38" t="str">
            <v>ADRENALINE GTS</v>
          </cell>
          <cell r="E38" t="str">
            <v>SUPPORTIVE CUSHION</v>
          </cell>
          <cell r="F38" t="str">
            <v>mens</v>
          </cell>
          <cell r="G38" t="str">
            <v>110437</v>
          </cell>
          <cell r="H38" t="str">
            <v>1D</v>
          </cell>
          <cell r="I38" t="str">
            <v>425</v>
          </cell>
          <cell r="J38" t="str">
            <v>425 Navy Peony/Black/Acid Lime</v>
          </cell>
          <cell r="K38" t="str">
            <v>New Color</v>
          </cell>
          <cell r="L38">
            <v>45809</v>
          </cell>
          <cell r="M38">
            <v>45992</v>
          </cell>
        </row>
        <row r="38">
          <cell r="O38" t="str">
            <v>Inline</v>
          </cell>
        </row>
        <row r="38">
          <cell r="Q38" t="str">
            <v>F2025</v>
          </cell>
          <cell r="R38" t="str">
            <v>7-13, 14, 15</v>
          </cell>
          <cell r="S38">
            <v>150</v>
          </cell>
          <cell r="T38">
            <v>75</v>
          </cell>
          <cell r="U38">
            <v>200</v>
          </cell>
          <cell r="V38">
            <v>100</v>
          </cell>
          <cell r="W38">
            <v>135</v>
          </cell>
          <cell r="X38">
            <v>67.5</v>
          </cell>
          <cell r="Y38">
            <v>1800</v>
          </cell>
          <cell r="Z38">
            <v>900</v>
          </cell>
          <cell r="AA38">
            <v>1800</v>
          </cell>
          <cell r="AB38">
            <v>900</v>
          </cell>
          <cell r="AC38">
            <v>1350</v>
          </cell>
          <cell r="AD38">
            <v>675</v>
          </cell>
        </row>
        <row r="39">
          <cell r="A39" t="str">
            <v>1104372E434</v>
          </cell>
          <cell r="B39" t="str">
            <v>Adrenaline GTS 24</v>
          </cell>
          <cell r="C39" t="str">
            <v>ADRENALINE GTS</v>
          </cell>
          <cell r="D39" t="str">
            <v>ADRENALINE GTS</v>
          </cell>
          <cell r="E39" t="str">
            <v>SUPPORTIVE CUSHION</v>
          </cell>
          <cell r="F39" t="str">
            <v>mens</v>
          </cell>
          <cell r="G39" t="str">
            <v>110437</v>
          </cell>
          <cell r="H39" t="str">
            <v>2E</v>
          </cell>
          <cell r="I39" t="str">
            <v>434</v>
          </cell>
          <cell r="J39" t="str">
            <v>434 Cobalt/Neo Yellow/Peacoat</v>
          </cell>
          <cell r="K39" t="str">
            <v>Carry Over</v>
          </cell>
          <cell r="L39">
            <v>45809</v>
          </cell>
          <cell r="M39">
            <v>45992</v>
          </cell>
        </row>
        <row r="39">
          <cell r="O39" t="str">
            <v>Inline</v>
          </cell>
        </row>
        <row r="39">
          <cell r="Q39" t="str">
            <v>F2025</v>
          </cell>
          <cell r="R39" t="str">
            <v>7-13, 14, 15</v>
          </cell>
          <cell r="S39">
            <v>150</v>
          </cell>
          <cell r="T39">
            <v>75</v>
          </cell>
          <cell r="U39">
            <v>200</v>
          </cell>
          <cell r="V39">
            <v>100</v>
          </cell>
          <cell r="W39">
            <v>135</v>
          </cell>
          <cell r="X39">
            <v>67.5</v>
          </cell>
          <cell r="Y39">
            <v>1800</v>
          </cell>
          <cell r="Z39">
            <v>900</v>
          </cell>
          <cell r="AA39">
            <v>1800</v>
          </cell>
          <cell r="AB39">
            <v>900</v>
          </cell>
          <cell r="AC39">
            <v>1350</v>
          </cell>
          <cell r="AD39">
            <v>675</v>
          </cell>
        </row>
        <row r="40">
          <cell r="A40" t="str">
            <v>1104371B434</v>
          </cell>
          <cell r="B40" t="str">
            <v>Adrenaline GTS 24</v>
          </cell>
          <cell r="C40" t="str">
            <v>ADRENALINE GTS</v>
          </cell>
          <cell r="D40" t="str">
            <v>ADRENALINE GTS</v>
          </cell>
          <cell r="E40" t="str">
            <v>SUPPORTIVE CUSHION</v>
          </cell>
          <cell r="F40" t="str">
            <v>mens</v>
          </cell>
          <cell r="G40" t="str">
            <v>110437</v>
          </cell>
          <cell r="H40" t="str">
            <v>1B</v>
          </cell>
          <cell r="I40" t="str">
            <v>434</v>
          </cell>
          <cell r="J40" t="str">
            <v>434 Cobalt/Neo Yellow/Peacoat</v>
          </cell>
          <cell r="K40" t="str">
            <v>Carry Over</v>
          </cell>
          <cell r="L40">
            <v>45809</v>
          </cell>
          <cell r="M40">
            <v>45992</v>
          </cell>
        </row>
        <row r="40">
          <cell r="O40" t="str">
            <v>Inline</v>
          </cell>
        </row>
        <row r="40">
          <cell r="Q40" t="str">
            <v>F2025</v>
          </cell>
          <cell r="R40" t="str">
            <v>7-13, 14, 15</v>
          </cell>
          <cell r="S40">
            <v>150</v>
          </cell>
          <cell r="T40">
            <v>75</v>
          </cell>
          <cell r="U40">
            <v>200</v>
          </cell>
          <cell r="V40">
            <v>100</v>
          </cell>
          <cell r="W40">
            <v>135</v>
          </cell>
          <cell r="X40">
            <v>67.5</v>
          </cell>
          <cell r="Y40">
            <v>1800</v>
          </cell>
          <cell r="Z40">
            <v>900</v>
          </cell>
          <cell r="AA40">
            <v>1800</v>
          </cell>
          <cell r="AB40">
            <v>900</v>
          </cell>
          <cell r="AC40">
            <v>1350</v>
          </cell>
          <cell r="AD40">
            <v>675</v>
          </cell>
        </row>
        <row r="41">
          <cell r="A41" t="str">
            <v>1204261B020</v>
          </cell>
          <cell r="B41" t="str">
            <v>Adrenaline GTS 24</v>
          </cell>
          <cell r="C41" t="str">
            <v>ADRENALINE GTS</v>
          </cell>
          <cell r="D41" t="str">
            <v>ADRENALINE GTS</v>
          </cell>
          <cell r="E41" t="str">
            <v>SUPPORTIVE CUSHION</v>
          </cell>
          <cell r="F41" t="str">
            <v>womens</v>
          </cell>
          <cell r="G41" t="str">
            <v>120426</v>
          </cell>
          <cell r="H41" t="str">
            <v>1B</v>
          </cell>
          <cell r="I41" t="str">
            <v>020</v>
          </cell>
          <cell r="J41" t="str">
            <v>020 Black/Black/Ebony</v>
          </cell>
          <cell r="K41" t="str">
            <v>Carry Over</v>
          </cell>
          <cell r="L41">
            <v>45809</v>
          </cell>
          <cell r="M41">
            <v>45992</v>
          </cell>
        </row>
        <row r="41">
          <cell r="O41" t="str">
            <v>Inline</v>
          </cell>
        </row>
        <row r="41">
          <cell r="Q41" t="str">
            <v>F2025</v>
          </cell>
          <cell r="R41" t="str">
            <v>5-12, 13</v>
          </cell>
          <cell r="S41">
            <v>150</v>
          </cell>
          <cell r="T41">
            <v>75</v>
          </cell>
          <cell r="U41">
            <v>200</v>
          </cell>
          <cell r="V41">
            <v>100</v>
          </cell>
          <cell r="W41">
            <v>135</v>
          </cell>
          <cell r="X41">
            <v>67.5</v>
          </cell>
          <cell r="Y41">
            <v>1800</v>
          </cell>
          <cell r="Z41">
            <v>900</v>
          </cell>
          <cell r="AA41">
            <v>1800</v>
          </cell>
          <cell r="AB41">
            <v>900</v>
          </cell>
          <cell r="AC41">
            <v>1350</v>
          </cell>
          <cell r="AD41">
            <v>675</v>
          </cell>
        </row>
        <row r="42">
          <cell r="A42" t="str">
            <v>1204261D020</v>
          </cell>
          <cell r="B42" t="str">
            <v>Adrenaline GTS 24</v>
          </cell>
          <cell r="C42" t="str">
            <v>ADRENALINE GTS</v>
          </cell>
          <cell r="D42" t="str">
            <v>ADRENALINE GTS</v>
          </cell>
          <cell r="E42" t="str">
            <v>SUPPORTIVE CUSHION</v>
          </cell>
          <cell r="F42" t="str">
            <v>womens</v>
          </cell>
          <cell r="G42" t="str">
            <v>120426</v>
          </cell>
          <cell r="H42" t="str">
            <v>1D</v>
          </cell>
          <cell r="I42" t="str">
            <v>020</v>
          </cell>
          <cell r="J42" t="str">
            <v>020 Black/Black/Ebony</v>
          </cell>
          <cell r="K42" t="str">
            <v>Carry Over</v>
          </cell>
          <cell r="L42">
            <v>45809</v>
          </cell>
          <cell r="M42">
            <v>45992</v>
          </cell>
        </row>
        <row r="42">
          <cell r="O42" t="str">
            <v>Inline</v>
          </cell>
        </row>
        <row r="42">
          <cell r="Q42" t="str">
            <v>F2025</v>
          </cell>
          <cell r="R42" t="str">
            <v>5-12, 13</v>
          </cell>
          <cell r="S42">
            <v>150</v>
          </cell>
          <cell r="T42">
            <v>75</v>
          </cell>
          <cell r="U42">
            <v>200</v>
          </cell>
          <cell r="V42">
            <v>100</v>
          </cell>
          <cell r="W42">
            <v>135</v>
          </cell>
          <cell r="X42">
            <v>67.5</v>
          </cell>
          <cell r="Y42">
            <v>1800</v>
          </cell>
          <cell r="Z42">
            <v>900</v>
          </cell>
          <cell r="AA42">
            <v>1800</v>
          </cell>
          <cell r="AB42">
            <v>900</v>
          </cell>
          <cell r="AC42">
            <v>1350</v>
          </cell>
          <cell r="AD42">
            <v>675</v>
          </cell>
        </row>
        <row r="43">
          <cell r="A43" t="str">
            <v>1204261B096</v>
          </cell>
          <cell r="B43" t="str">
            <v>Adrenaline GTS 24</v>
          </cell>
          <cell r="C43" t="str">
            <v>ADRENALINE GTS</v>
          </cell>
          <cell r="D43" t="str">
            <v>ADRENALINE GTS</v>
          </cell>
          <cell r="E43" t="str">
            <v>SUPPORTIVE CUSHION</v>
          </cell>
          <cell r="F43" t="str">
            <v>womens</v>
          </cell>
          <cell r="G43" t="str">
            <v>120426</v>
          </cell>
          <cell r="H43" t="str">
            <v>1B</v>
          </cell>
          <cell r="I43" t="str">
            <v>096</v>
          </cell>
          <cell r="J43" t="str">
            <v>096 Oyster/Excalibur/Pink</v>
          </cell>
          <cell r="K43" t="str">
            <v>New Color</v>
          </cell>
          <cell r="L43">
            <v>45809</v>
          </cell>
          <cell r="M43">
            <v>45992</v>
          </cell>
        </row>
        <row r="43">
          <cell r="O43" t="str">
            <v>Inline</v>
          </cell>
        </row>
        <row r="43">
          <cell r="Q43" t="str">
            <v>F2025</v>
          </cell>
          <cell r="R43" t="str">
            <v>5-12, 13</v>
          </cell>
          <cell r="S43">
            <v>150</v>
          </cell>
          <cell r="T43">
            <v>75</v>
          </cell>
          <cell r="U43">
            <v>200</v>
          </cell>
          <cell r="V43">
            <v>100</v>
          </cell>
          <cell r="W43">
            <v>135</v>
          </cell>
          <cell r="X43">
            <v>67.5</v>
          </cell>
          <cell r="Y43">
            <v>1800</v>
          </cell>
          <cell r="Z43">
            <v>900</v>
          </cell>
          <cell r="AA43">
            <v>1800</v>
          </cell>
          <cell r="AB43">
            <v>900</v>
          </cell>
          <cell r="AC43">
            <v>1350</v>
          </cell>
          <cell r="AD43">
            <v>675</v>
          </cell>
        </row>
        <row r="44">
          <cell r="A44" t="str">
            <v>1204261B099</v>
          </cell>
          <cell r="B44" t="str">
            <v>Adrenaline GTS 24</v>
          </cell>
          <cell r="C44" t="str">
            <v>ADRENALINE GTS</v>
          </cell>
          <cell r="D44" t="str">
            <v>ADRENALINE GTS</v>
          </cell>
          <cell r="E44" t="str">
            <v>SUPPORTIVE CUSHION</v>
          </cell>
          <cell r="F44" t="str">
            <v>womens</v>
          </cell>
          <cell r="G44" t="str">
            <v>120426</v>
          </cell>
          <cell r="H44" t="str">
            <v>1B</v>
          </cell>
          <cell r="I44" t="str">
            <v>099</v>
          </cell>
          <cell r="J44" t="str">
            <v>099 Ebony/Blue Heron/Silver</v>
          </cell>
          <cell r="K44" t="str">
            <v>New Color</v>
          </cell>
          <cell r="L44">
            <v>45809</v>
          </cell>
          <cell r="M44">
            <v>45992</v>
          </cell>
        </row>
        <row r="44">
          <cell r="O44" t="str">
            <v>Inline</v>
          </cell>
        </row>
        <row r="44">
          <cell r="Q44" t="str">
            <v>F2025</v>
          </cell>
          <cell r="R44" t="str">
            <v>5-12, 13</v>
          </cell>
          <cell r="S44">
            <v>150</v>
          </cell>
          <cell r="T44">
            <v>75</v>
          </cell>
          <cell r="U44">
            <v>200</v>
          </cell>
          <cell r="V44">
            <v>100</v>
          </cell>
          <cell r="W44">
            <v>135</v>
          </cell>
          <cell r="X44">
            <v>67.5</v>
          </cell>
          <cell r="Y44">
            <v>1800</v>
          </cell>
          <cell r="Z44">
            <v>900</v>
          </cell>
          <cell r="AA44">
            <v>1800</v>
          </cell>
          <cell r="AB44">
            <v>900</v>
          </cell>
          <cell r="AC44">
            <v>1350</v>
          </cell>
          <cell r="AD44">
            <v>675</v>
          </cell>
        </row>
        <row r="45">
          <cell r="A45" t="str">
            <v>1204261D140</v>
          </cell>
          <cell r="B45" t="str">
            <v>Adrenaline GTS 24</v>
          </cell>
          <cell r="C45" t="str">
            <v>ADRENALINE GTS</v>
          </cell>
          <cell r="D45" t="str">
            <v>ADRENALINE GTS</v>
          </cell>
          <cell r="E45" t="str">
            <v>SUPPORTIVE CUSHION</v>
          </cell>
          <cell r="F45" t="str">
            <v>womens</v>
          </cell>
          <cell r="G45" t="str">
            <v>120426</v>
          </cell>
          <cell r="H45" t="str">
            <v>1D</v>
          </cell>
          <cell r="I45" t="str">
            <v>140</v>
          </cell>
          <cell r="J45" t="str">
            <v>140 Grey/Blue Ribbon/Peach</v>
          </cell>
          <cell r="K45" t="str">
            <v>Carry Over</v>
          </cell>
          <cell r="L45">
            <v>45809</v>
          </cell>
          <cell r="M45">
            <v>45992</v>
          </cell>
        </row>
        <row r="45">
          <cell r="O45" t="str">
            <v>Inline</v>
          </cell>
        </row>
        <row r="45">
          <cell r="Q45" t="str">
            <v>F2025</v>
          </cell>
          <cell r="R45" t="str">
            <v>5-12, 13</v>
          </cell>
          <cell r="S45">
            <v>150</v>
          </cell>
          <cell r="T45">
            <v>75</v>
          </cell>
          <cell r="U45">
            <v>200</v>
          </cell>
          <cell r="V45">
            <v>100</v>
          </cell>
          <cell r="W45">
            <v>135</v>
          </cell>
          <cell r="X45">
            <v>67.5</v>
          </cell>
          <cell r="Y45">
            <v>1800</v>
          </cell>
          <cell r="Z45">
            <v>900</v>
          </cell>
          <cell r="AA45">
            <v>1800</v>
          </cell>
          <cell r="AB45">
            <v>900</v>
          </cell>
          <cell r="AC45">
            <v>1350</v>
          </cell>
          <cell r="AD45">
            <v>675</v>
          </cell>
        </row>
        <row r="46">
          <cell r="A46" t="str">
            <v>1204262A140</v>
          </cell>
          <cell r="B46" t="str">
            <v>Adrenaline GTS 24</v>
          </cell>
          <cell r="C46" t="str">
            <v>ADRENALINE GTS</v>
          </cell>
          <cell r="D46" t="str">
            <v>ADRENALINE GTS</v>
          </cell>
          <cell r="E46" t="str">
            <v>SUPPORTIVE CUSHION</v>
          </cell>
          <cell r="F46" t="str">
            <v>womens</v>
          </cell>
          <cell r="G46" t="str">
            <v>120426</v>
          </cell>
          <cell r="H46" t="str">
            <v>2A</v>
          </cell>
          <cell r="I46" t="str">
            <v>140</v>
          </cell>
          <cell r="J46" t="str">
            <v>140 Grey/Blue Ribbon/Peach</v>
          </cell>
          <cell r="K46" t="str">
            <v>Carry Over</v>
          </cell>
          <cell r="L46">
            <v>45809</v>
          </cell>
          <cell r="M46">
            <v>45992</v>
          </cell>
        </row>
        <row r="46">
          <cell r="O46" t="str">
            <v>Inline</v>
          </cell>
        </row>
        <row r="46">
          <cell r="Q46" t="str">
            <v>F2025</v>
          </cell>
          <cell r="R46" t="str">
            <v>5-12, 13</v>
          </cell>
          <cell r="S46">
            <v>150</v>
          </cell>
          <cell r="T46">
            <v>75</v>
          </cell>
          <cell r="U46">
            <v>200</v>
          </cell>
          <cell r="V46">
            <v>100</v>
          </cell>
          <cell r="W46">
            <v>135</v>
          </cell>
          <cell r="X46">
            <v>67.5</v>
          </cell>
          <cell r="Y46">
            <v>1800</v>
          </cell>
          <cell r="Z46">
            <v>900</v>
          </cell>
          <cell r="AA46">
            <v>1800</v>
          </cell>
          <cell r="AB46">
            <v>900</v>
          </cell>
          <cell r="AC46">
            <v>1350</v>
          </cell>
          <cell r="AD46">
            <v>675</v>
          </cell>
        </row>
        <row r="47">
          <cell r="A47" t="str">
            <v>1204261B181</v>
          </cell>
          <cell r="B47" t="str">
            <v>Adrenaline GTS 24</v>
          </cell>
          <cell r="C47" t="str">
            <v>ADRENALINE GTS</v>
          </cell>
          <cell r="D47" t="str">
            <v>ADRENALINE GTS</v>
          </cell>
          <cell r="E47" t="str">
            <v>SUPPORTIVE CUSHION</v>
          </cell>
          <cell r="F47" t="str">
            <v>womens</v>
          </cell>
          <cell r="G47" t="str">
            <v>120426</v>
          </cell>
          <cell r="H47" t="str">
            <v>1B</v>
          </cell>
          <cell r="I47" t="str">
            <v>181</v>
          </cell>
          <cell r="J47" t="str">
            <v>181 Coconut/Rose Gold/White</v>
          </cell>
          <cell r="K47" t="str">
            <v>New Color</v>
          </cell>
          <cell r="L47">
            <v>45809</v>
          </cell>
          <cell r="M47">
            <v>45992</v>
          </cell>
        </row>
        <row r="47">
          <cell r="O47" t="str">
            <v>Inline</v>
          </cell>
        </row>
        <row r="47">
          <cell r="Q47" t="str">
            <v>F2025</v>
          </cell>
          <cell r="R47" t="str">
            <v>5-12, 13</v>
          </cell>
          <cell r="S47">
            <v>150</v>
          </cell>
          <cell r="T47">
            <v>75</v>
          </cell>
          <cell r="U47">
            <v>200</v>
          </cell>
          <cell r="V47">
            <v>100</v>
          </cell>
          <cell r="W47">
            <v>135</v>
          </cell>
          <cell r="X47">
            <v>67.5</v>
          </cell>
          <cell r="Y47">
            <v>1800</v>
          </cell>
          <cell r="Z47">
            <v>900</v>
          </cell>
          <cell r="AA47">
            <v>1800</v>
          </cell>
          <cell r="AB47">
            <v>900</v>
          </cell>
          <cell r="AC47">
            <v>1350</v>
          </cell>
          <cell r="AD47">
            <v>675</v>
          </cell>
        </row>
        <row r="48">
          <cell r="A48" t="str">
            <v>1204261B443</v>
          </cell>
          <cell r="B48" t="str">
            <v>Adrenaline GTS 24</v>
          </cell>
          <cell r="C48" t="str">
            <v>ADRENALINE GTS</v>
          </cell>
          <cell r="D48" t="str">
            <v>ADRENALINE GTS</v>
          </cell>
          <cell r="E48" t="str">
            <v>SUPPORTIVE CUSHION</v>
          </cell>
          <cell r="F48" t="str">
            <v>womens</v>
          </cell>
          <cell r="G48" t="str">
            <v>120426</v>
          </cell>
          <cell r="H48" t="str">
            <v>1B</v>
          </cell>
          <cell r="I48" t="str">
            <v>443</v>
          </cell>
          <cell r="J48" t="str">
            <v>443 Blue Heron/White/Orange</v>
          </cell>
          <cell r="K48" t="str">
            <v>New Color</v>
          </cell>
          <cell r="L48">
            <v>45809</v>
          </cell>
          <cell r="M48">
            <v>45992</v>
          </cell>
        </row>
        <row r="48">
          <cell r="O48" t="str">
            <v>Inline</v>
          </cell>
        </row>
        <row r="48">
          <cell r="Q48" t="str">
            <v>F2025</v>
          </cell>
          <cell r="R48" t="str">
            <v>5-12, 13</v>
          </cell>
          <cell r="S48">
            <v>150</v>
          </cell>
          <cell r="T48">
            <v>75</v>
          </cell>
          <cell r="U48">
            <v>200</v>
          </cell>
          <cell r="V48">
            <v>100</v>
          </cell>
          <cell r="W48">
            <v>135</v>
          </cell>
          <cell r="X48">
            <v>67.5</v>
          </cell>
          <cell r="Y48">
            <v>1800</v>
          </cell>
          <cell r="Z48">
            <v>900</v>
          </cell>
          <cell r="AA48">
            <v>1800</v>
          </cell>
          <cell r="AB48">
            <v>900</v>
          </cell>
          <cell r="AC48">
            <v>1350</v>
          </cell>
          <cell r="AD48">
            <v>675</v>
          </cell>
        </row>
        <row r="49">
          <cell r="A49" t="str">
            <v>1104531D459</v>
          </cell>
          <cell r="B49" t="str">
            <v>Adrenaline GTS 24 GTX</v>
          </cell>
          <cell r="C49" t="str">
            <v>ADRENALINE GTS GTX</v>
          </cell>
          <cell r="D49" t="str">
            <v>ADRENALINE GTS GTX</v>
          </cell>
          <cell r="E49" t="str">
            <v>SUPPORTIVE CUSHION</v>
          </cell>
          <cell r="F49" t="str">
            <v>mens</v>
          </cell>
          <cell r="G49" t="str">
            <v>110453</v>
          </cell>
          <cell r="H49" t="str">
            <v>1D</v>
          </cell>
          <cell r="I49" t="str">
            <v>459</v>
          </cell>
          <cell r="J49" t="str">
            <v>459 Black/Nightshadow/Coconut</v>
          </cell>
          <cell r="K49" t="str">
            <v>New</v>
          </cell>
          <cell r="L49">
            <v>45870</v>
          </cell>
          <cell r="M49">
            <v>46235</v>
          </cell>
        </row>
        <row r="49">
          <cell r="O49" t="str">
            <v>Inline</v>
          </cell>
        </row>
        <row r="49">
          <cell r="Q49" t="str">
            <v>F2025</v>
          </cell>
          <cell r="R49" t="str">
            <v>7-13, 14, 15</v>
          </cell>
          <cell r="S49">
            <v>170</v>
          </cell>
          <cell r="T49">
            <v>85</v>
          </cell>
          <cell r="U49">
            <v>210</v>
          </cell>
          <cell r="V49">
            <v>100</v>
          </cell>
          <cell r="W49">
            <v>150</v>
          </cell>
          <cell r="X49">
            <v>75</v>
          </cell>
          <cell r="Y49">
            <v>2000</v>
          </cell>
          <cell r="Z49">
            <v>1000</v>
          </cell>
          <cell r="AA49">
            <v>2000</v>
          </cell>
          <cell r="AB49">
            <v>1000</v>
          </cell>
          <cell r="AC49">
            <v>1450</v>
          </cell>
          <cell r="AD49">
            <v>725</v>
          </cell>
        </row>
        <row r="50">
          <cell r="A50" t="str">
            <v>1204421B459</v>
          </cell>
          <cell r="B50" t="str">
            <v>Adrenaline GTS 24 GTX</v>
          </cell>
          <cell r="C50" t="str">
            <v>ADRENALINE GTS GTX</v>
          </cell>
          <cell r="D50" t="str">
            <v>ADRENALINE GTS GTX</v>
          </cell>
          <cell r="E50" t="str">
            <v>SUPPORTIVE CUSHION</v>
          </cell>
          <cell r="F50" t="str">
            <v>womens</v>
          </cell>
          <cell r="G50" t="str">
            <v>120442</v>
          </cell>
          <cell r="H50" t="str">
            <v>1B</v>
          </cell>
          <cell r="I50" t="str">
            <v>459</v>
          </cell>
          <cell r="J50" t="str">
            <v>459 Black/Nightshadow/Coconut</v>
          </cell>
          <cell r="K50" t="str">
            <v>New</v>
          </cell>
          <cell r="L50">
            <v>45870</v>
          </cell>
          <cell r="M50">
            <v>46235</v>
          </cell>
        </row>
        <row r="50">
          <cell r="O50" t="str">
            <v>Inline</v>
          </cell>
        </row>
        <row r="50">
          <cell r="Q50" t="str">
            <v>F2025</v>
          </cell>
          <cell r="R50" t="str">
            <v>5-12</v>
          </cell>
          <cell r="S50">
            <v>170</v>
          </cell>
          <cell r="T50">
            <v>85</v>
          </cell>
          <cell r="U50">
            <v>210</v>
          </cell>
          <cell r="V50">
            <v>100</v>
          </cell>
          <cell r="W50">
            <v>150</v>
          </cell>
          <cell r="X50">
            <v>75</v>
          </cell>
          <cell r="Y50">
            <v>2000</v>
          </cell>
          <cell r="Z50">
            <v>1000</v>
          </cell>
          <cell r="AA50">
            <v>2000</v>
          </cell>
          <cell r="AB50">
            <v>1000</v>
          </cell>
          <cell r="AC50">
            <v>1450</v>
          </cell>
          <cell r="AD50">
            <v>725</v>
          </cell>
        </row>
        <row r="51">
          <cell r="A51" t="str">
            <v>1104381D358</v>
          </cell>
          <cell r="B51" t="str">
            <v>Adrenaline GTS 24 Weatherized</v>
          </cell>
          <cell r="C51" t="str">
            <v>ADRENALINE GTS WEATHERIZED</v>
          </cell>
          <cell r="D51" t="str">
            <v>ADRENALINE GTS WEATHERIZED</v>
          </cell>
          <cell r="E51" t="str">
            <v>SUPPORTIVE CUSHION</v>
          </cell>
          <cell r="F51" t="str">
            <v>mens</v>
          </cell>
          <cell r="G51" t="str">
            <v>110438</v>
          </cell>
          <cell r="H51" t="str">
            <v>1D</v>
          </cell>
          <cell r="I51" t="str">
            <v>358</v>
          </cell>
          <cell r="J51" t="str">
            <v>358 Green/Gray/Orange</v>
          </cell>
          <cell r="K51" t="str">
            <v>New Color</v>
          </cell>
          <cell r="L51">
            <v>45870</v>
          </cell>
          <cell r="M51">
            <v>45992</v>
          </cell>
        </row>
        <row r="51">
          <cell r="O51" t="str">
            <v>Inline</v>
          </cell>
        </row>
        <row r="51">
          <cell r="Q51" t="str">
            <v>F2025</v>
          </cell>
          <cell r="R51" t="str">
            <v>7-13, 14, 15</v>
          </cell>
          <cell r="S51">
            <v>160</v>
          </cell>
          <cell r="T51">
            <v>80</v>
          </cell>
          <cell r="U51">
            <v>205</v>
          </cell>
          <cell r="V51">
            <v>102.5</v>
          </cell>
          <cell r="W51">
            <v>145</v>
          </cell>
          <cell r="X51">
            <v>72.5</v>
          </cell>
          <cell r="Y51">
            <v>1900</v>
          </cell>
          <cell r="Z51">
            <v>950</v>
          </cell>
          <cell r="AA51">
            <v>1900</v>
          </cell>
          <cell r="AB51">
            <v>950</v>
          </cell>
          <cell r="AC51">
            <v>1400</v>
          </cell>
          <cell r="AD51">
            <v>700</v>
          </cell>
        </row>
        <row r="52">
          <cell r="A52" t="str">
            <v>1204271B492</v>
          </cell>
          <cell r="B52" t="str">
            <v>Adrenaline GTS 24 Weatherized</v>
          </cell>
          <cell r="C52" t="str">
            <v>ADRENALINE GTS WEATHERIZED</v>
          </cell>
          <cell r="D52" t="str">
            <v>ADRENALINE GTS WEATHERIZED</v>
          </cell>
          <cell r="E52" t="str">
            <v>SUPPORTIVE CUSHION</v>
          </cell>
          <cell r="F52" t="str">
            <v>womens</v>
          </cell>
          <cell r="G52" t="str">
            <v>120427</v>
          </cell>
          <cell r="H52" t="str">
            <v>1B</v>
          </cell>
          <cell r="I52" t="str">
            <v>492</v>
          </cell>
          <cell r="J52" t="str">
            <v>492 Oyster/Nightshadow/Lime</v>
          </cell>
          <cell r="K52" t="str">
            <v>New Color</v>
          </cell>
          <cell r="L52">
            <v>45870</v>
          </cell>
          <cell r="M52">
            <v>45992</v>
          </cell>
        </row>
        <row r="52">
          <cell r="O52" t="str">
            <v>Inline</v>
          </cell>
        </row>
        <row r="52">
          <cell r="Q52" t="str">
            <v>F2025</v>
          </cell>
          <cell r="R52" t="str">
            <v>5-12</v>
          </cell>
          <cell r="S52">
            <v>160</v>
          </cell>
          <cell r="T52">
            <v>80</v>
          </cell>
          <cell r="U52">
            <v>205</v>
          </cell>
          <cell r="V52">
            <v>102.5</v>
          </cell>
          <cell r="W52">
            <v>145</v>
          </cell>
          <cell r="X52">
            <v>72.5</v>
          </cell>
          <cell r="Y52">
            <v>1900</v>
          </cell>
          <cell r="Z52">
            <v>950</v>
          </cell>
          <cell r="AA52">
            <v>1900</v>
          </cell>
          <cell r="AB52">
            <v>950</v>
          </cell>
          <cell r="AC52">
            <v>1400</v>
          </cell>
          <cell r="AD52">
            <v>700</v>
          </cell>
        </row>
        <row r="53">
          <cell r="A53" t="str">
            <v>1204141B016</v>
          </cell>
          <cell r="B53" t="str">
            <v>Ariel GTS 24</v>
          </cell>
          <cell r="C53" t="str">
            <v>BEAST ARIEL GTS</v>
          </cell>
          <cell r="D53" t="str">
            <v>BEAST ARIEL GTS</v>
          </cell>
          <cell r="E53" t="str">
            <v>SUPPORTIVE CUSHION</v>
          </cell>
          <cell r="F53" t="str">
            <v>womens</v>
          </cell>
          <cell r="G53" t="str">
            <v>120414</v>
          </cell>
          <cell r="H53" t="str">
            <v>1B</v>
          </cell>
          <cell r="I53" t="str">
            <v>016</v>
          </cell>
          <cell r="J53" t="str">
            <v>016 Ebony/Black/White</v>
          </cell>
          <cell r="K53" t="str">
            <v>Carry Over</v>
          </cell>
          <cell r="L53">
            <v>45809</v>
          </cell>
          <cell r="M53">
            <v>46113</v>
          </cell>
        </row>
        <row r="53">
          <cell r="O53" t="str">
            <v>Inline</v>
          </cell>
        </row>
        <row r="53">
          <cell r="Q53" t="str">
            <v>F2025</v>
          </cell>
          <cell r="R53" t="str">
            <v>5-12</v>
          </cell>
          <cell r="S53">
            <v>160</v>
          </cell>
          <cell r="T53">
            <v>80</v>
          </cell>
          <cell r="U53">
            <v>230</v>
          </cell>
          <cell r="V53">
            <v>115</v>
          </cell>
          <cell r="W53">
            <v>140</v>
          </cell>
          <cell r="X53">
            <v>70</v>
          </cell>
          <cell r="Y53">
            <v>1900</v>
          </cell>
          <cell r="Z53">
            <v>950</v>
          </cell>
          <cell r="AA53">
            <v>1900</v>
          </cell>
          <cell r="AB53">
            <v>950</v>
          </cell>
          <cell r="AC53">
            <v>1400</v>
          </cell>
          <cell r="AD53">
            <v>700</v>
          </cell>
        </row>
        <row r="54">
          <cell r="A54" t="str">
            <v>1204141D016</v>
          </cell>
          <cell r="B54" t="str">
            <v>Ariel GTS 24</v>
          </cell>
          <cell r="C54" t="str">
            <v>BEAST ARIEL GTS</v>
          </cell>
          <cell r="D54" t="str">
            <v>BEAST ARIEL GTS</v>
          </cell>
          <cell r="E54" t="str">
            <v>SUPPORTIVE CUSHION</v>
          </cell>
          <cell r="F54" t="str">
            <v>womens</v>
          </cell>
          <cell r="G54" t="str">
            <v>120414</v>
          </cell>
          <cell r="H54" t="str">
            <v>1D</v>
          </cell>
          <cell r="I54" t="str">
            <v>016</v>
          </cell>
          <cell r="J54" t="str">
            <v>016 Ebony/Black/White</v>
          </cell>
          <cell r="K54" t="str">
            <v>Carry Over</v>
          </cell>
          <cell r="L54">
            <v>45809</v>
          </cell>
          <cell r="M54">
            <v>46113</v>
          </cell>
        </row>
        <row r="54">
          <cell r="O54" t="str">
            <v>Inline</v>
          </cell>
        </row>
        <row r="54">
          <cell r="Q54" t="str">
            <v>F2025</v>
          </cell>
          <cell r="R54" t="str">
            <v>6-12, 13</v>
          </cell>
          <cell r="S54">
            <v>160</v>
          </cell>
          <cell r="T54">
            <v>80</v>
          </cell>
          <cell r="U54">
            <v>230</v>
          </cell>
          <cell r="V54">
            <v>115</v>
          </cell>
          <cell r="W54">
            <v>140</v>
          </cell>
          <cell r="X54">
            <v>70</v>
          </cell>
          <cell r="Y54">
            <v>1900</v>
          </cell>
          <cell r="Z54">
            <v>950</v>
          </cell>
          <cell r="AA54">
            <v>1900</v>
          </cell>
          <cell r="AB54">
            <v>950</v>
          </cell>
          <cell r="AC54">
            <v>1400</v>
          </cell>
          <cell r="AD54">
            <v>700</v>
          </cell>
        </row>
        <row r="55">
          <cell r="A55" t="str">
            <v>1204142E016</v>
          </cell>
          <cell r="B55" t="str">
            <v>Ariel GTS 24</v>
          </cell>
          <cell r="C55" t="str">
            <v>BEAST ARIEL GTS</v>
          </cell>
          <cell r="D55" t="str">
            <v>BEAST ARIEL GTS</v>
          </cell>
          <cell r="E55" t="str">
            <v>SUPPORTIVE CUSHION</v>
          </cell>
          <cell r="F55" t="str">
            <v>womens</v>
          </cell>
          <cell r="G55" t="str">
            <v>120414</v>
          </cell>
          <cell r="H55" t="str">
            <v>2E</v>
          </cell>
          <cell r="I55" t="str">
            <v>016</v>
          </cell>
          <cell r="J55" t="str">
            <v>016 Ebony/Black/White</v>
          </cell>
          <cell r="K55" t="str">
            <v>Carry Over</v>
          </cell>
          <cell r="L55">
            <v>45809</v>
          </cell>
          <cell r="M55">
            <v>46113</v>
          </cell>
        </row>
        <row r="55">
          <cell r="O55" t="str">
            <v>Inline</v>
          </cell>
        </row>
        <row r="55">
          <cell r="Q55" t="str">
            <v>F2025</v>
          </cell>
          <cell r="R55" t="str">
            <v>5-12, 13</v>
          </cell>
          <cell r="S55">
            <v>160</v>
          </cell>
          <cell r="T55">
            <v>80</v>
          </cell>
          <cell r="U55">
            <v>230</v>
          </cell>
          <cell r="V55">
            <v>115</v>
          </cell>
          <cell r="W55">
            <v>140</v>
          </cell>
          <cell r="X55">
            <v>70</v>
          </cell>
          <cell r="Y55">
            <v>1900</v>
          </cell>
          <cell r="Z55">
            <v>950</v>
          </cell>
          <cell r="AA55">
            <v>1900</v>
          </cell>
          <cell r="AB55">
            <v>950</v>
          </cell>
          <cell r="AC55">
            <v>1400</v>
          </cell>
          <cell r="AD55">
            <v>700</v>
          </cell>
        </row>
        <row r="56">
          <cell r="A56" t="str">
            <v>1104251D452</v>
          </cell>
          <cell r="B56" t="str">
            <v>Beast GTS 24</v>
          </cell>
          <cell r="C56" t="str">
            <v>BEAST ARIEL GTS</v>
          </cell>
          <cell r="D56" t="str">
            <v>BEAST ARIEL GTS</v>
          </cell>
          <cell r="E56" t="str">
            <v>SUPPORTIVE CUSHION</v>
          </cell>
          <cell r="F56" t="str">
            <v>mens</v>
          </cell>
          <cell r="G56" t="str">
            <v>110425</v>
          </cell>
          <cell r="H56" t="str">
            <v>1D</v>
          </cell>
          <cell r="I56" t="str">
            <v>452</v>
          </cell>
          <cell r="J56" t="str">
            <v>452 Peacoat/True Navy/White</v>
          </cell>
          <cell r="K56" t="str">
            <v>Carry Over</v>
          </cell>
          <cell r="L56">
            <v>45809</v>
          </cell>
          <cell r="M56">
            <v>46113</v>
          </cell>
        </row>
        <row r="56">
          <cell r="O56" t="str">
            <v>Inline</v>
          </cell>
        </row>
        <row r="56">
          <cell r="Q56" t="str">
            <v>F2025</v>
          </cell>
          <cell r="R56" t="str">
            <v>7-13, 14, 15</v>
          </cell>
          <cell r="S56">
            <v>160</v>
          </cell>
          <cell r="T56">
            <v>80</v>
          </cell>
          <cell r="U56">
            <v>230</v>
          </cell>
          <cell r="V56">
            <v>115</v>
          </cell>
          <cell r="W56">
            <v>140</v>
          </cell>
          <cell r="X56">
            <v>70</v>
          </cell>
          <cell r="Y56">
            <v>1900</v>
          </cell>
          <cell r="Z56">
            <v>950</v>
          </cell>
          <cell r="AA56">
            <v>1900</v>
          </cell>
          <cell r="AB56">
            <v>950</v>
          </cell>
          <cell r="AC56">
            <v>1400</v>
          </cell>
          <cell r="AD56">
            <v>700</v>
          </cell>
        </row>
        <row r="57">
          <cell r="A57" t="str">
            <v>1104252E452</v>
          </cell>
          <cell r="B57" t="str">
            <v>Beast GTS 24</v>
          </cell>
          <cell r="C57" t="str">
            <v>BEAST ARIEL GTS</v>
          </cell>
          <cell r="D57" t="str">
            <v>BEAST ARIEL GTS</v>
          </cell>
          <cell r="E57" t="str">
            <v>SUPPORTIVE CUSHION</v>
          </cell>
          <cell r="F57" t="str">
            <v>mens</v>
          </cell>
          <cell r="G57" t="str">
            <v>110425</v>
          </cell>
          <cell r="H57" t="str">
            <v>2E</v>
          </cell>
          <cell r="I57" t="str">
            <v>452</v>
          </cell>
          <cell r="J57" t="str">
            <v>452 Peacoat/True Navy/White</v>
          </cell>
          <cell r="K57" t="str">
            <v>Carry Over</v>
          </cell>
          <cell r="L57">
            <v>45809</v>
          </cell>
          <cell r="M57">
            <v>46113</v>
          </cell>
        </row>
        <row r="57">
          <cell r="O57" t="str">
            <v>Inline</v>
          </cell>
        </row>
        <row r="57">
          <cell r="Q57" t="str">
            <v>F2025</v>
          </cell>
          <cell r="R57" t="str">
            <v>7-13, 14, 15</v>
          </cell>
          <cell r="S57">
            <v>160</v>
          </cell>
          <cell r="T57">
            <v>80</v>
          </cell>
          <cell r="U57">
            <v>230</v>
          </cell>
          <cell r="V57">
            <v>115</v>
          </cell>
          <cell r="W57">
            <v>140</v>
          </cell>
          <cell r="X57">
            <v>70</v>
          </cell>
          <cell r="Y57">
            <v>1900</v>
          </cell>
          <cell r="Z57">
            <v>950</v>
          </cell>
          <cell r="AA57">
            <v>1900</v>
          </cell>
          <cell r="AB57">
            <v>950</v>
          </cell>
          <cell r="AC57">
            <v>1400</v>
          </cell>
          <cell r="AD57">
            <v>700</v>
          </cell>
        </row>
        <row r="58">
          <cell r="A58" t="str">
            <v>1104254E452</v>
          </cell>
          <cell r="B58" t="str">
            <v>Beast GTS 24</v>
          </cell>
          <cell r="C58" t="str">
            <v>BEAST ARIEL GTS</v>
          </cell>
          <cell r="D58" t="str">
            <v>BEAST ARIEL GTS</v>
          </cell>
          <cell r="E58" t="str">
            <v>SUPPORTIVE CUSHION</v>
          </cell>
          <cell r="F58" t="str">
            <v>mens</v>
          </cell>
          <cell r="G58" t="str">
            <v>110425</v>
          </cell>
          <cell r="H58" t="str">
            <v>4E</v>
          </cell>
          <cell r="I58" t="str">
            <v>452</v>
          </cell>
          <cell r="J58" t="str">
            <v>452 Peacoat/True Navy/White</v>
          </cell>
          <cell r="K58" t="str">
            <v>Carry Over</v>
          </cell>
          <cell r="L58">
            <v>45809</v>
          </cell>
          <cell r="M58">
            <v>46113</v>
          </cell>
        </row>
        <row r="58">
          <cell r="O58" t="str">
            <v>Inline</v>
          </cell>
        </row>
        <row r="58">
          <cell r="Q58" t="str">
            <v>F2025</v>
          </cell>
          <cell r="R58" t="str">
            <v>8-13, 14, 15</v>
          </cell>
          <cell r="S58">
            <v>160</v>
          </cell>
          <cell r="T58">
            <v>80</v>
          </cell>
          <cell r="U58">
            <v>230</v>
          </cell>
          <cell r="V58">
            <v>115</v>
          </cell>
          <cell r="W58">
            <v>140</v>
          </cell>
          <cell r="X58">
            <v>70</v>
          </cell>
          <cell r="Y58">
            <v>1900</v>
          </cell>
          <cell r="Z58">
            <v>950</v>
          </cell>
          <cell r="AA58">
            <v>1900</v>
          </cell>
          <cell r="AB58">
            <v>950</v>
          </cell>
          <cell r="AC58">
            <v>1400</v>
          </cell>
          <cell r="AD58">
            <v>700</v>
          </cell>
        </row>
        <row r="59">
          <cell r="A59" t="str">
            <v>1104401D052</v>
          </cell>
          <cell r="B59" t="str">
            <v>Caldera 8</v>
          </cell>
          <cell r="C59" t="str">
            <v>CALDERA</v>
          </cell>
          <cell r="D59" t="str">
            <v>CALDERA</v>
          </cell>
          <cell r="E59" t="str">
            <v>TRAIL</v>
          </cell>
          <cell r="F59" t="str">
            <v>mens</v>
          </cell>
          <cell r="G59" t="str">
            <v>110440</v>
          </cell>
          <cell r="H59" t="str">
            <v>1D</v>
          </cell>
          <cell r="I59" t="str">
            <v>052</v>
          </cell>
          <cell r="J59" t="str">
            <v>052 Black/Blackened Pearl/White</v>
          </cell>
          <cell r="K59" t="str">
            <v>Carry Over</v>
          </cell>
          <cell r="L59">
            <v>45809</v>
          </cell>
          <cell r="M59">
            <v>46023</v>
          </cell>
        </row>
        <row r="59">
          <cell r="O59" t="str">
            <v>Inline</v>
          </cell>
        </row>
        <row r="59">
          <cell r="Q59" t="str">
            <v>F2025</v>
          </cell>
          <cell r="R59" t="str">
            <v>7-13, 14, 15</v>
          </cell>
          <cell r="S59">
            <v>150</v>
          </cell>
          <cell r="T59">
            <v>75</v>
          </cell>
          <cell r="U59">
            <v>210</v>
          </cell>
          <cell r="V59">
            <v>105</v>
          </cell>
          <cell r="W59">
            <v>140</v>
          </cell>
          <cell r="X59">
            <v>70</v>
          </cell>
          <cell r="Y59">
            <v>1800</v>
          </cell>
          <cell r="Z59">
            <v>900</v>
          </cell>
          <cell r="AA59">
            <v>1800</v>
          </cell>
          <cell r="AB59">
            <v>900</v>
          </cell>
          <cell r="AC59">
            <v>1350</v>
          </cell>
          <cell r="AD59">
            <v>675</v>
          </cell>
        </row>
        <row r="60">
          <cell r="A60" t="str">
            <v>1104401D314</v>
          </cell>
          <cell r="B60" t="str">
            <v>Caldera 8</v>
          </cell>
          <cell r="C60" t="str">
            <v>CALDERA</v>
          </cell>
          <cell r="D60" t="str">
            <v>CALDERA</v>
          </cell>
          <cell r="E60" t="str">
            <v>TRAIL</v>
          </cell>
          <cell r="F60" t="str">
            <v>mens</v>
          </cell>
          <cell r="G60" t="str">
            <v>110440</v>
          </cell>
          <cell r="H60" t="str">
            <v>1D</v>
          </cell>
          <cell r="I60" t="str">
            <v>314</v>
          </cell>
          <cell r="J60" t="str">
            <v>314 Dusty Olive/Lime/Oyster</v>
          </cell>
          <cell r="K60" t="str">
            <v>New Color</v>
          </cell>
          <cell r="L60">
            <v>45809</v>
          </cell>
          <cell r="M60">
            <v>46023</v>
          </cell>
        </row>
        <row r="60">
          <cell r="O60" t="str">
            <v>Inline</v>
          </cell>
        </row>
        <row r="60">
          <cell r="Q60" t="str">
            <v>F2025</v>
          </cell>
          <cell r="R60" t="str">
            <v>7-13, 14, 15</v>
          </cell>
          <cell r="S60">
            <v>150</v>
          </cell>
          <cell r="T60">
            <v>75</v>
          </cell>
          <cell r="U60">
            <v>210</v>
          </cell>
          <cell r="V60">
            <v>105</v>
          </cell>
          <cell r="W60">
            <v>140</v>
          </cell>
          <cell r="X60">
            <v>70</v>
          </cell>
          <cell r="Y60">
            <v>1800</v>
          </cell>
          <cell r="Z60">
            <v>900</v>
          </cell>
          <cell r="AA60">
            <v>1800</v>
          </cell>
          <cell r="AB60">
            <v>900</v>
          </cell>
          <cell r="AC60">
            <v>1350</v>
          </cell>
          <cell r="AD60">
            <v>675</v>
          </cell>
        </row>
        <row r="61">
          <cell r="A61" t="str">
            <v>1104401D403</v>
          </cell>
          <cell r="B61" t="str">
            <v>Caldera 8</v>
          </cell>
          <cell r="C61" t="str">
            <v>CALDERA</v>
          </cell>
          <cell r="D61" t="str">
            <v>CALDERA</v>
          </cell>
          <cell r="E61" t="str">
            <v>TRAIL</v>
          </cell>
          <cell r="F61" t="str">
            <v>mens</v>
          </cell>
          <cell r="G61" t="str">
            <v>110440</v>
          </cell>
          <cell r="H61" t="str">
            <v>1D</v>
          </cell>
          <cell r="I61" t="str">
            <v>403</v>
          </cell>
          <cell r="J61" t="str">
            <v>403 Regatta/Ebony/Nightlife</v>
          </cell>
          <cell r="K61" t="str">
            <v>New Color</v>
          </cell>
          <cell r="L61">
            <v>45809</v>
          </cell>
          <cell r="M61">
            <v>46023</v>
          </cell>
        </row>
        <row r="61">
          <cell r="O61" t="str">
            <v>Inline</v>
          </cell>
        </row>
        <row r="61">
          <cell r="Q61" t="str">
            <v>F2025</v>
          </cell>
          <cell r="R61" t="str">
            <v>7-13, 14, 15</v>
          </cell>
          <cell r="S61">
            <v>150</v>
          </cell>
          <cell r="T61">
            <v>75</v>
          </cell>
          <cell r="U61">
            <v>210</v>
          </cell>
          <cell r="V61">
            <v>105</v>
          </cell>
          <cell r="W61">
            <v>140</v>
          </cell>
          <cell r="X61">
            <v>70</v>
          </cell>
          <cell r="Y61">
            <v>1800</v>
          </cell>
          <cell r="Z61">
            <v>900</v>
          </cell>
          <cell r="AA61">
            <v>1800</v>
          </cell>
          <cell r="AB61">
            <v>900</v>
          </cell>
          <cell r="AC61">
            <v>1350</v>
          </cell>
          <cell r="AD61">
            <v>675</v>
          </cell>
        </row>
        <row r="62">
          <cell r="A62" t="str">
            <v>1204291B031</v>
          </cell>
          <cell r="B62" t="str">
            <v>Caldera 8</v>
          </cell>
          <cell r="C62" t="str">
            <v>CALDERA</v>
          </cell>
          <cell r="D62" t="str">
            <v>CALDERA</v>
          </cell>
          <cell r="E62" t="str">
            <v>TRAIL</v>
          </cell>
          <cell r="F62" t="str">
            <v>womens</v>
          </cell>
          <cell r="G62" t="str">
            <v>120429</v>
          </cell>
          <cell r="H62" t="str">
            <v>1B</v>
          </cell>
          <cell r="I62" t="str">
            <v>031</v>
          </cell>
          <cell r="J62" t="str">
            <v>031 Grey/Black/Lime</v>
          </cell>
          <cell r="K62" t="str">
            <v>New Color</v>
          </cell>
          <cell r="L62">
            <v>45809</v>
          </cell>
          <cell r="M62">
            <v>46023</v>
          </cell>
        </row>
        <row r="62">
          <cell r="O62" t="str">
            <v>Inline</v>
          </cell>
        </row>
        <row r="62">
          <cell r="Q62" t="str">
            <v>F2025</v>
          </cell>
          <cell r="R62" t="str">
            <v>5-11, 12</v>
          </cell>
          <cell r="S62">
            <v>150</v>
          </cell>
          <cell r="T62">
            <v>75</v>
          </cell>
          <cell r="U62">
            <v>210</v>
          </cell>
          <cell r="V62">
            <v>105</v>
          </cell>
          <cell r="W62">
            <v>140</v>
          </cell>
          <cell r="X62">
            <v>70</v>
          </cell>
          <cell r="Y62">
            <v>1800</v>
          </cell>
          <cell r="Z62">
            <v>900</v>
          </cell>
          <cell r="AA62">
            <v>1800</v>
          </cell>
          <cell r="AB62">
            <v>900</v>
          </cell>
          <cell r="AC62">
            <v>1350</v>
          </cell>
          <cell r="AD62">
            <v>675</v>
          </cell>
        </row>
        <row r="63">
          <cell r="A63" t="str">
            <v>1204291B052</v>
          </cell>
          <cell r="B63" t="str">
            <v>Caldera 8</v>
          </cell>
          <cell r="C63" t="str">
            <v>CALDERA</v>
          </cell>
          <cell r="D63" t="str">
            <v>CALDERA</v>
          </cell>
          <cell r="E63" t="str">
            <v>TRAIL</v>
          </cell>
          <cell r="F63" t="str">
            <v>womens</v>
          </cell>
          <cell r="G63" t="str">
            <v>120429</v>
          </cell>
          <cell r="H63" t="str">
            <v>1B</v>
          </cell>
          <cell r="I63" t="str">
            <v>052</v>
          </cell>
          <cell r="J63" t="str">
            <v>052 Black/Blackened Pearl/White</v>
          </cell>
          <cell r="K63" t="str">
            <v>Carry Over</v>
          </cell>
          <cell r="L63">
            <v>45809</v>
          </cell>
          <cell r="M63">
            <v>46023</v>
          </cell>
        </row>
        <row r="63">
          <cell r="O63" t="str">
            <v>Inline</v>
          </cell>
        </row>
        <row r="63">
          <cell r="Q63" t="str">
            <v>F2025</v>
          </cell>
          <cell r="R63" t="str">
            <v>5-11, 12</v>
          </cell>
          <cell r="S63">
            <v>150</v>
          </cell>
          <cell r="T63">
            <v>75</v>
          </cell>
          <cell r="U63">
            <v>210</v>
          </cell>
          <cell r="V63">
            <v>105</v>
          </cell>
          <cell r="W63">
            <v>140</v>
          </cell>
          <cell r="X63">
            <v>70</v>
          </cell>
          <cell r="Y63">
            <v>1800</v>
          </cell>
          <cell r="Z63">
            <v>900</v>
          </cell>
          <cell r="AA63">
            <v>1800</v>
          </cell>
          <cell r="AB63">
            <v>900</v>
          </cell>
          <cell r="AC63">
            <v>1350</v>
          </cell>
          <cell r="AD63">
            <v>675</v>
          </cell>
        </row>
        <row r="64">
          <cell r="A64" t="str">
            <v>1204291B491</v>
          </cell>
          <cell r="B64" t="str">
            <v>Caldera 8</v>
          </cell>
          <cell r="C64" t="str">
            <v>CALDERA</v>
          </cell>
          <cell r="D64" t="str">
            <v>CALDERA</v>
          </cell>
          <cell r="E64" t="str">
            <v>TRAIL</v>
          </cell>
          <cell r="F64" t="str">
            <v>womens</v>
          </cell>
          <cell r="G64" t="str">
            <v>120429</v>
          </cell>
          <cell r="H64" t="str">
            <v>1B</v>
          </cell>
          <cell r="I64" t="str">
            <v>491</v>
          </cell>
          <cell r="J64" t="str">
            <v>491 Misty Blue/Coconut/Chateau</v>
          </cell>
          <cell r="K64" t="str">
            <v>New Color</v>
          </cell>
          <cell r="L64">
            <v>45809</v>
          </cell>
          <cell r="M64">
            <v>46023</v>
          </cell>
        </row>
        <row r="64">
          <cell r="O64" t="str">
            <v>Inline</v>
          </cell>
        </row>
        <row r="64">
          <cell r="Q64" t="str">
            <v>F2025</v>
          </cell>
          <cell r="R64" t="str">
            <v>5-11, 12</v>
          </cell>
          <cell r="S64">
            <v>150</v>
          </cell>
          <cell r="T64">
            <v>75</v>
          </cell>
          <cell r="U64">
            <v>210</v>
          </cell>
          <cell r="V64">
            <v>105</v>
          </cell>
          <cell r="W64">
            <v>140</v>
          </cell>
          <cell r="X64">
            <v>70</v>
          </cell>
          <cell r="Y64">
            <v>1800</v>
          </cell>
          <cell r="Z64">
            <v>900</v>
          </cell>
          <cell r="AA64">
            <v>1800</v>
          </cell>
          <cell r="AB64">
            <v>900</v>
          </cell>
          <cell r="AC64">
            <v>1350</v>
          </cell>
          <cell r="AD64">
            <v>675</v>
          </cell>
        </row>
        <row r="65">
          <cell r="A65" t="str">
            <v>1104571D232</v>
          </cell>
          <cell r="B65" t="str">
            <v>Cascadia 19</v>
          </cell>
          <cell r="C65" t="str">
            <v>CASCADIA</v>
          </cell>
          <cell r="D65" t="str">
            <v>CASCADIA</v>
          </cell>
          <cell r="E65" t="str">
            <v>TRAIL</v>
          </cell>
          <cell r="F65" t="str">
            <v>mens</v>
          </cell>
          <cell r="G65" t="str">
            <v>110457</v>
          </cell>
          <cell r="H65" t="str">
            <v>1D</v>
          </cell>
          <cell r="I65" t="str">
            <v>232</v>
          </cell>
          <cell r="J65" t="str">
            <v>232 Chateau/Ebony/Sunny Lime</v>
          </cell>
          <cell r="K65" t="str">
            <v>New</v>
          </cell>
          <cell r="L65">
            <v>45839</v>
          </cell>
          <cell r="M65">
            <v>46204</v>
          </cell>
        </row>
        <row r="65">
          <cell r="O65" t="str">
            <v>Inline</v>
          </cell>
        </row>
        <row r="65">
          <cell r="Q65" t="str">
            <v>F2025</v>
          </cell>
          <cell r="R65" t="str">
            <v>7-13, 14, 15</v>
          </cell>
          <cell r="S65">
            <v>150</v>
          </cell>
          <cell r="T65">
            <v>75</v>
          </cell>
          <cell r="U65">
            <v>210</v>
          </cell>
          <cell r="V65">
            <v>105</v>
          </cell>
          <cell r="W65">
            <v>135</v>
          </cell>
          <cell r="X65">
            <v>67.5</v>
          </cell>
          <cell r="Y65">
            <v>1800</v>
          </cell>
          <cell r="Z65">
            <v>900</v>
          </cell>
          <cell r="AA65">
            <v>1800</v>
          </cell>
          <cell r="AB65">
            <v>900</v>
          </cell>
          <cell r="AC65">
            <v>1350</v>
          </cell>
          <cell r="AD65">
            <v>675</v>
          </cell>
        </row>
        <row r="66">
          <cell r="A66" t="str">
            <v>1104571D416</v>
          </cell>
          <cell r="B66" t="str">
            <v>Cascadia 19</v>
          </cell>
          <cell r="C66" t="str">
            <v>CASCADIA</v>
          </cell>
          <cell r="D66" t="str">
            <v>CASCADIA</v>
          </cell>
          <cell r="E66" t="str">
            <v>TRAIL</v>
          </cell>
          <cell r="F66" t="str">
            <v>mens</v>
          </cell>
          <cell r="G66" t="str">
            <v>110457</v>
          </cell>
          <cell r="H66" t="str">
            <v>1D</v>
          </cell>
          <cell r="I66" t="str">
            <v>416</v>
          </cell>
          <cell r="J66" t="str">
            <v>416 Surf the Web/Nightlife/White</v>
          </cell>
          <cell r="K66" t="str">
            <v>New</v>
          </cell>
          <cell r="L66">
            <v>45839</v>
          </cell>
          <cell r="M66">
            <v>46204</v>
          </cell>
        </row>
        <row r="66">
          <cell r="O66" t="str">
            <v>Inline</v>
          </cell>
        </row>
        <row r="66">
          <cell r="Q66" t="str">
            <v>F2025</v>
          </cell>
          <cell r="R66" t="str">
            <v>7-13, 14, 15</v>
          </cell>
          <cell r="S66">
            <v>150</v>
          </cell>
          <cell r="T66">
            <v>75</v>
          </cell>
          <cell r="U66">
            <v>210</v>
          </cell>
          <cell r="V66">
            <v>105</v>
          </cell>
          <cell r="W66">
            <v>135</v>
          </cell>
          <cell r="X66">
            <v>67.5</v>
          </cell>
          <cell r="Y66">
            <v>1800</v>
          </cell>
          <cell r="Z66">
            <v>900</v>
          </cell>
          <cell r="AA66">
            <v>1800</v>
          </cell>
          <cell r="AB66">
            <v>900</v>
          </cell>
          <cell r="AC66">
            <v>1350</v>
          </cell>
          <cell r="AD66">
            <v>675</v>
          </cell>
        </row>
        <row r="67">
          <cell r="A67" t="str">
            <v>1104572E416</v>
          </cell>
          <cell r="B67" t="str">
            <v>Cascadia 19</v>
          </cell>
          <cell r="C67" t="str">
            <v>CASCADIA</v>
          </cell>
          <cell r="D67" t="str">
            <v>CASCADIA</v>
          </cell>
          <cell r="E67" t="str">
            <v>TRAIL</v>
          </cell>
          <cell r="F67" t="str">
            <v>mens</v>
          </cell>
          <cell r="G67" t="str">
            <v>110457</v>
          </cell>
          <cell r="H67" t="str">
            <v>2E</v>
          </cell>
          <cell r="I67" t="str">
            <v>416</v>
          </cell>
          <cell r="J67" t="str">
            <v>416 Surf the Web/Nightlife/White</v>
          </cell>
          <cell r="K67" t="str">
            <v>New</v>
          </cell>
          <cell r="L67">
            <v>45839</v>
          </cell>
          <cell r="M67">
            <v>46204</v>
          </cell>
        </row>
        <row r="67">
          <cell r="O67" t="str">
            <v>Inline</v>
          </cell>
        </row>
        <row r="67">
          <cell r="Q67" t="str">
            <v>F2025</v>
          </cell>
          <cell r="R67" t="str">
            <v>7-13, 14, 15</v>
          </cell>
          <cell r="S67">
            <v>150</v>
          </cell>
          <cell r="T67">
            <v>75</v>
          </cell>
          <cell r="U67">
            <v>210</v>
          </cell>
          <cell r="V67">
            <v>105</v>
          </cell>
          <cell r="W67">
            <v>135</v>
          </cell>
          <cell r="X67">
            <v>67.5</v>
          </cell>
          <cell r="Y67">
            <v>1800</v>
          </cell>
          <cell r="Z67">
            <v>900</v>
          </cell>
          <cell r="AA67">
            <v>1800</v>
          </cell>
          <cell r="AB67">
            <v>900</v>
          </cell>
          <cell r="AC67">
            <v>1350</v>
          </cell>
          <cell r="AD67">
            <v>675</v>
          </cell>
        </row>
        <row r="68">
          <cell r="A68" t="str">
            <v>1104571D722</v>
          </cell>
          <cell r="B68" t="str">
            <v>Cascadia 19</v>
          </cell>
          <cell r="C68" t="str">
            <v>CASCADIA</v>
          </cell>
          <cell r="D68" t="str">
            <v>CASCADIA</v>
          </cell>
          <cell r="E68" t="str">
            <v>TRAIL</v>
          </cell>
          <cell r="F68" t="str">
            <v>mens</v>
          </cell>
          <cell r="G68" t="str">
            <v>110457</v>
          </cell>
          <cell r="H68" t="str">
            <v>1D</v>
          </cell>
          <cell r="I68" t="str">
            <v>722</v>
          </cell>
          <cell r="J68" t="str">
            <v>722 Sunny Lime/Black/Blue</v>
          </cell>
          <cell r="K68" t="str">
            <v>New</v>
          </cell>
          <cell r="L68">
            <v>45839</v>
          </cell>
          <cell r="M68">
            <v>46204</v>
          </cell>
        </row>
        <row r="68">
          <cell r="O68" t="str">
            <v>Inline</v>
          </cell>
        </row>
        <row r="68">
          <cell r="Q68" t="str">
            <v>F2025</v>
          </cell>
          <cell r="R68" t="str">
            <v>7-13, 14, 15</v>
          </cell>
          <cell r="S68">
            <v>150</v>
          </cell>
          <cell r="T68">
            <v>75</v>
          </cell>
          <cell r="U68">
            <v>210</v>
          </cell>
          <cell r="V68">
            <v>105</v>
          </cell>
          <cell r="W68">
            <v>135</v>
          </cell>
          <cell r="X68">
            <v>67.5</v>
          </cell>
          <cell r="Y68">
            <v>1800</v>
          </cell>
          <cell r="Z68">
            <v>900</v>
          </cell>
          <cell r="AA68">
            <v>1800</v>
          </cell>
          <cell r="AB68">
            <v>900</v>
          </cell>
          <cell r="AC68">
            <v>1350</v>
          </cell>
          <cell r="AD68">
            <v>675</v>
          </cell>
        </row>
        <row r="69">
          <cell r="A69" t="str">
            <v>1204461B117</v>
          </cell>
          <cell r="B69" t="str">
            <v>Cascadia 19</v>
          </cell>
          <cell r="C69" t="str">
            <v>CASCADIA</v>
          </cell>
          <cell r="D69" t="str">
            <v>CASCADIA</v>
          </cell>
          <cell r="E69" t="str">
            <v>TRAIL</v>
          </cell>
          <cell r="F69" t="str">
            <v>womens</v>
          </cell>
          <cell r="G69" t="str">
            <v>120446</v>
          </cell>
          <cell r="H69" t="str">
            <v>1B</v>
          </cell>
          <cell r="I69" t="str">
            <v>117</v>
          </cell>
          <cell r="J69" t="str">
            <v>117 Coconut/Misty Blue/Ebony</v>
          </cell>
          <cell r="K69" t="str">
            <v>New</v>
          </cell>
          <cell r="L69">
            <v>45839</v>
          </cell>
          <cell r="M69">
            <v>45992</v>
          </cell>
        </row>
        <row r="69">
          <cell r="O69" t="str">
            <v>Inline</v>
          </cell>
        </row>
        <row r="69">
          <cell r="Q69" t="str">
            <v>F2025</v>
          </cell>
          <cell r="R69" t="str">
            <v>5-12</v>
          </cell>
          <cell r="S69">
            <v>150</v>
          </cell>
          <cell r="T69">
            <v>75</v>
          </cell>
          <cell r="U69">
            <v>210</v>
          </cell>
          <cell r="V69">
            <v>105</v>
          </cell>
          <cell r="W69">
            <v>135</v>
          </cell>
          <cell r="X69">
            <v>67.5</v>
          </cell>
          <cell r="Y69">
            <v>1800</v>
          </cell>
          <cell r="Z69">
            <v>900</v>
          </cell>
          <cell r="AA69">
            <v>1800</v>
          </cell>
          <cell r="AB69">
            <v>900</v>
          </cell>
          <cell r="AC69">
            <v>1350</v>
          </cell>
          <cell r="AD69">
            <v>675</v>
          </cell>
        </row>
        <row r="70">
          <cell r="A70" t="str">
            <v>1204461D117</v>
          </cell>
          <cell r="B70" t="str">
            <v>Cascadia 19</v>
          </cell>
          <cell r="C70" t="str">
            <v>CASCADIA</v>
          </cell>
          <cell r="D70" t="str">
            <v>CASCADIA</v>
          </cell>
          <cell r="E70" t="str">
            <v>TRAIL</v>
          </cell>
          <cell r="F70" t="str">
            <v>womens</v>
          </cell>
          <cell r="G70" t="str">
            <v>120446</v>
          </cell>
          <cell r="H70" t="str">
            <v>1D</v>
          </cell>
          <cell r="I70" t="str">
            <v>117</v>
          </cell>
          <cell r="J70" t="str">
            <v>117 Coconut/Misty Blue/Ebony</v>
          </cell>
          <cell r="K70" t="str">
            <v>New</v>
          </cell>
          <cell r="L70">
            <v>45839</v>
          </cell>
          <cell r="M70">
            <v>45992</v>
          </cell>
        </row>
        <row r="70">
          <cell r="O70" t="str">
            <v>Inline</v>
          </cell>
        </row>
        <row r="70">
          <cell r="Q70" t="str">
            <v>F2025</v>
          </cell>
          <cell r="R70" t="str">
            <v>5-12</v>
          </cell>
          <cell r="S70">
            <v>150</v>
          </cell>
          <cell r="T70">
            <v>75</v>
          </cell>
          <cell r="U70">
            <v>210</v>
          </cell>
          <cell r="V70">
            <v>105</v>
          </cell>
          <cell r="W70">
            <v>135</v>
          </cell>
          <cell r="X70">
            <v>67.5</v>
          </cell>
          <cell r="Y70">
            <v>1800</v>
          </cell>
          <cell r="Z70">
            <v>900</v>
          </cell>
          <cell r="AA70">
            <v>1800</v>
          </cell>
          <cell r="AB70">
            <v>900</v>
          </cell>
          <cell r="AC70">
            <v>1350</v>
          </cell>
          <cell r="AD70">
            <v>675</v>
          </cell>
        </row>
        <row r="71">
          <cell r="A71" t="str">
            <v>1204461B437</v>
          </cell>
          <cell r="B71" t="str">
            <v>Cascadia 19</v>
          </cell>
          <cell r="C71" t="str">
            <v>CASCADIA</v>
          </cell>
          <cell r="D71" t="str">
            <v>CASCADIA</v>
          </cell>
          <cell r="E71" t="str">
            <v>TRAIL</v>
          </cell>
          <cell r="F71" t="str">
            <v>womens</v>
          </cell>
          <cell r="G71" t="str">
            <v>120446</v>
          </cell>
          <cell r="H71" t="str">
            <v>1B</v>
          </cell>
          <cell r="I71" t="str">
            <v>437</v>
          </cell>
          <cell r="J71" t="str">
            <v>437 Clearwater/Primer Grey/Apricot</v>
          </cell>
          <cell r="K71" t="str">
            <v>New</v>
          </cell>
          <cell r="L71">
            <v>45839</v>
          </cell>
          <cell r="M71">
            <v>46204</v>
          </cell>
        </row>
        <row r="71">
          <cell r="O71" t="str">
            <v>Inline</v>
          </cell>
        </row>
        <row r="71">
          <cell r="Q71" t="str">
            <v>F2025</v>
          </cell>
          <cell r="R71" t="str">
            <v>5-12</v>
          </cell>
          <cell r="S71">
            <v>150</v>
          </cell>
          <cell r="T71">
            <v>75</v>
          </cell>
          <cell r="U71">
            <v>210</v>
          </cell>
          <cell r="V71">
            <v>105</v>
          </cell>
          <cell r="W71">
            <v>135</v>
          </cell>
          <cell r="X71">
            <v>67.5</v>
          </cell>
          <cell r="Y71">
            <v>1800</v>
          </cell>
          <cell r="Z71">
            <v>900</v>
          </cell>
          <cell r="AA71">
            <v>1800</v>
          </cell>
          <cell r="AB71">
            <v>900</v>
          </cell>
          <cell r="AC71">
            <v>1350</v>
          </cell>
          <cell r="AD71">
            <v>675</v>
          </cell>
        </row>
        <row r="72">
          <cell r="A72" t="str">
            <v>1204461B711</v>
          </cell>
          <cell r="B72" t="str">
            <v>Cascadia 19</v>
          </cell>
          <cell r="C72" t="str">
            <v>CASCADIA</v>
          </cell>
          <cell r="D72" t="str">
            <v>CASCADIA</v>
          </cell>
          <cell r="E72" t="str">
            <v>TRAIL</v>
          </cell>
          <cell r="F72" t="str">
            <v>womens</v>
          </cell>
          <cell r="G72" t="str">
            <v>120446</v>
          </cell>
          <cell r="H72" t="str">
            <v>1B</v>
          </cell>
          <cell r="I72" t="str">
            <v>711</v>
          </cell>
          <cell r="J72" t="str">
            <v>711 Sunny Lime/Black/Magenta</v>
          </cell>
          <cell r="K72" t="str">
            <v>New</v>
          </cell>
          <cell r="L72">
            <v>45839</v>
          </cell>
          <cell r="M72">
            <v>46204</v>
          </cell>
        </row>
        <row r="72">
          <cell r="O72" t="str">
            <v>Inline</v>
          </cell>
        </row>
        <row r="72">
          <cell r="Q72" t="str">
            <v>F2025</v>
          </cell>
          <cell r="R72" t="str">
            <v>5-12</v>
          </cell>
          <cell r="S72">
            <v>150</v>
          </cell>
          <cell r="T72">
            <v>75</v>
          </cell>
          <cell r="U72">
            <v>210</v>
          </cell>
          <cell r="V72">
            <v>105</v>
          </cell>
          <cell r="W72">
            <v>135</v>
          </cell>
          <cell r="X72">
            <v>67.5</v>
          </cell>
          <cell r="Y72">
            <v>1800</v>
          </cell>
          <cell r="Z72">
            <v>900</v>
          </cell>
          <cell r="AA72">
            <v>1800</v>
          </cell>
          <cell r="AB72">
            <v>900</v>
          </cell>
          <cell r="AC72">
            <v>1350</v>
          </cell>
          <cell r="AD72">
            <v>675</v>
          </cell>
        </row>
        <row r="73">
          <cell r="A73" t="str">
            <v>1104561D065</v>
          </cell>
          <cell r="B73" t="str">
            <v>Cascadia 19 GTX</v>
          </cell>
          <cell r="C73" t="str">
            <v>CASCADIA GTX</v>
          </cell>
          <cell r="D73" t="str">
            <v>CASCADIA GTX</v>
          </cell>
          <cell r="E73" t="str">
            <v>TRAIL</v>
          </cell>
          <cell r="F73" t="str">
            <v>mens</v>
          </cell>
          <cell r="G73" t="str">
            <v>110456</v>
          </cell>
          <cell r="H73" t="str">
            <v>1D</v>
          </cell>
          <cell r="I73" t="str">
            <v>065</v>
          </cell>
          <cell r="J73" t="str">
            <v>065 Black/Ebony/Chateau Gray</v>
          </cell>
          <cell r="K73" t="str">
            <v>New</v>
          </cell>
          <cell r="L73">
            <v>45870</v>
          </cell>
          <cell r="M73">
            <v>46235</v>
          </cell>
        </row>
        <row r="73">
          <cell r="O73" t="str">
            <v>Inline</v>
          </cell>
        </row>
        <row r="73">
          <cell r="Q73" t="str">
            <v>F2025</v>
          </cell>
          <cell r="R73" t="str">
            <v>7-13, 14, 15</v>
          </cell>
          <cell r="S73">
            <v>170</v>
          </cell>
          <cell r="T73">
            <v>85</v>
          </cell>
          <cell r="U73">
            <v>220</v>
          </cell>
          <cell r="V73">
            <v>110</v>
          </cell>
          <cell r="W73">
            <v>150</v>
          </cell>
          <cell r="X73">
            <v>75</v>
          </cell>
          <cell r="Y73">
            <v>2000</v>
          </cell>
          <cell r="Z73">
            <v>1000</v>
          </cell>
          <cell r="AA73">
            <v>2000</v>
          </cell>
          <cell r="AB73">
            <v>1000</v>
          </cell>
          <cell r="AC73">
            <v>1450</v>
          </cell>
          <cell r="AD73">
            <v>725</v>
          </cell>
        </row>
        <row r="74">
          <cell r="A74" t="str">
            <v>1204451B010</v>
          </cell>
          <cell r="B74" t="str">
            <v>Cascadia 19 GTX</v>
          </cell>
          <cell r="C74" t="str">
            <v>CASCADIA GTX</v>
          </cell>
          <cell r="D74" t="str">
            <v>CASCADIA GTX</v>
          </cell>
          <cell r="E74" t="str">
            <v>TRAIL</v>
          </cell>
          <cell r="F74" t="str">
            <v>womens</v>
          </cell>
          <cell r="G74" t="str">
            <v>120445</v>
          </cell>
          <cell r="H74" t="str">
            <v>1B</v>
          </cell>
          <cell r="I74" t="str">
            <v>010</v>
          </cell>
          <cell r="J74" t="str">
            <v>010 Black/Ebony/Blue Flower</v>
          </cell>
          <cell r="K74" t="str">
            <v>New</v>
          </cell>
          <cell r="L74">
            <v>45870</v>
          </cell>
          <cell r="M74">
            <v>46235</v>
          </cell>
        </row>
        <row r="74">
          <cell r="O74" t="str">
            <v>Inline</v>
          </cell>
        </row>
        <row r="74">
          <cell r="Q74" t="str">
            <v>F2025</v>
          </cell>
          <cell r="R74" t="str">
            <v>6-12</v>
          </cell>
          <cell r="S74">
            <v>170</v>
          </cell>
          <cell r="T74">
            <v>85</v>
          </cell>
          <cell r="U74">
            <v>220</v>
          </cell>
          <cell r="V74">
            <v>110</v>
          </cell>
          <cell r="W74">
            <v>150</v>
          </cell>
          <cell r="X74">
            <v>75</v>
          </cell>
          <cell r="Y74">
            <v>2000</v>
          </cell>
          <cell r="Z74">
            <v>1000</v>
          </cell>
          <cell r="AA74">
            <v>2000</v>
          </cell>
          <cell r="AB74">
            <v>1000</v>
          </cell>
          <cell r="AC74">
            <v>1450</v>
          </cell>
          <cell r="AD74">
            <v>725</v>
          </cell>
        </row>
        <row r="75">
          <cell r="A75" t="str">
            <v>1104411D030</v>
          </cell>
          <cell r="B75" t="str">
            <v>Catamount 4</v>
          </cell>
          <cell r="C75" t="str">
            <v>CATAMOUNT</v>
          </cell>
          <cell r="D75" t="str">
            <v>CATAMOUNT</v>
          </cell>
          <cell r="E75" t="str">
            <v>TRAIL</v>
          </cell>
          <cell r="F75" t="str">
            <v>mens</v>
          </cell>
          <cell r="G75" t="str">
            <v>110441</v>
          </cell>
          <cell r="H75" t="str">
            <v>1D</v>
          </cell>
          <cell r="I75" t="str">
            <v>030</v>
          </cell>
          <cell r="J75" t="str">
            <v>030 Black/Lime/Blue</v>
          </cell>
          <cell r="K75" t="str">
            <v>New Color</v>
          </cell>
          <cell r="L75">
            <v>45809</v>
          </cell>
          <cell r="M75">
            <v>46023</v>
          </cell>
        </row>
        <row r="75">
          <cell r="O75" t="str">
            <v>Inline</v>
          </cell>
        </row>
        <row r="75">
          <cell r="Q75" t="str">
            <v>F2025</v>
          </cell>
          <cell r="R75" t="str">
            <v>7-13, 14, 15</v>
          </cell>
          <cell r="S75">
            <v>170</v>
          </cell>
          <cell r="T75">
            <v>85</v>
          </cell>
          <cell r="U75">
            <v>230</v>
          </cell>
          <cell r="V75">
            <v>115</v>
          </cell>
          <cell r="W75">
            <v>160</v>
          </cell>
          <cell r="X75">
            <v>80</v>
          </cell>
          <cell r="Y75">
            <v>2000</v>
          </cell>
          <cell r="Z75">
            <v>1000</v>
          </cell>
          <cell r="AA75">
            <v>2000</v>
          </cell>
          <cell r="AB75">
            <v>1000</v>
          </cell>
          <cell r="AC75">
            <v>1500</v>
          </cell>
          <cell r="AD75">
            <v>750</v>
          </cell>
        </row>
        <row r="76">
          <cell r="A76" t="str">
            <v>1204301B031</v>
          </cell>
          <cell r="B76" t="str">
            <v>Catamount 4</v>
          </cell>
          <cell r="C76" t="str">
            <v>CATAMOUNT</v>
          </cell>
          <cell r="D76" t="str">
            <v>CATAMOUNT</v>
          </cell>
          <cell r="E76" t="str">
            <v>TRAIL</v>
          </cell>
          <cell r="F76" t="str">
            <v>womens</v>
          </cell>
          <cell r="G76" t="str">
            <v>120430</v>
          </cell>
          <cell r="H76" t="str">
            <v>1B</v>
          </cell>
          <cell r="I76" t="str">
            <v>031</v>
          </cell>
          <cell r="J76" t="str">
            <v>031 Grey/Black/Lime</v>
          </cell>
          <cell r="K76" t="str">
            <v>New Color</v>
          </cell>
          <cell r="L76">
            <v>45809</v>
          </cell>
          <cell r="M76">
            <v>46023</v>
          </cell>
        </row>
        <row r="76">
          <cell r="O76" t="str">
            <v>Inline</v>
          </cell>
        </row>
        <row r="76">
          <cell r="Q76" t="str">
            <v>F2025</v>
          </cell>
          <cell r="R76" t="str">
            <v>5-12</v>
          </cell>
          <cell r="S76">
            <v>170</v>
          </cell>
          <cell r="T76">
            <v>85</v>
          </cell>
          <cell r="U76">
            <v>230</v>
          </cell>
          <cell r="V76">
            <v>115</v>
          </cell>
          <cell r="W76">
            <v>160</v>
          </cell>
          <cell r="X76">
            <v>80</v>
          </cell>
          <cell r="Y76">
            <v>2000</v>
          </cell>
          <cell r="Z76">
            <v>1000</v>
          </cell>
          <cell r="AA76">
            <v>2000</v>
          </cell>
          <cell r="AB76">
            <v>1000</v>
          </cell>
          <cell r="AC76">
            <v>1500</v>
          </cell>
          <cell r="AD76">
            <v>750</v>
          </cell>
        </row>
        <row r="77">
          <cell r="A77" t="str">
            <v>1000451D614</v>
          </cell>
          <cell r="B77" t="str">
            <v>Catamount Agil</v>
          </cell>
          <cell r="C77" t="str">
            <v>CATAMOUNT AGIL</v>
          </cell>
          <cell r="D77" t="str">
            <v>CATAMOUNT AGIL</v>
          </cell>
          <cell r="E77" t="str">
            <v>TRAIL</v>
          </cell>
          <cell r="F77" t="str">
            <v>Unisex</v>
          </cell>
          <cell r="G77" t="str">
            <v>100045</v>
          </cell>
          <cell r="H77" t="str">
            <v>1D</v>
          </cell>
          <cell r="I77" t="str">
            <v>614</v>
          </cell>
          <cell r="J77" t="str">
            <v>614 Neo Ember/Flame/Quince</v>
          </cell>
          <cell r="K77" t="str">
            <v>Carry Over</v>
          </cell>
          <cell r="L77">
            <v>45809</v>
          </cell>
          <cell r="M77">
            <v>46023</v>
          </cell>
        </row>
        <row r="77">
          <cell r="O77" t="str">
            <v>Inline</v>
          </cell>
        </row>
        <row r="77">
          <cell r="Q77" t="str">
            <v>F2025</v>
          </cell>
          <cell r="R77" t="str">
            <v>5-12, 13</v>
          </cell>
          <cell r="S77">
            <v>180</v>
          </cell>
          <cell r="T77">
            <v>90</v>
          </cell>
          <cell r="U77">
            <v>240</v>
          </cell>
          <cell r="V77">
            <v>120</v>
          </cell>
          <cell r="W77">
            <v>170</v>
          </cell>
          <cell r="X77">
            <v>85</v>
          </cell>
          <cell r="Y77">
            <v>2100</v>
          </cell>
          <cell r="Z77">
            <v>1050</v>
          </cell>
          <cell r="AA77">
            <v>2100</v>
          </cell>
          <cell r="AB77">
            <v>1050</v>
          </cell>
          <cell r="AC77">
            <v>1600</v>
          </cell>
          <cell r="AD77">
            <v>800</v>
          </cell>
        </row>
        <row r="78">
          <cell r="A78" t="str">
            <v>1104171B096</v>
          </cell>
          <cell r="B78" t="str">
            <v>Defyance 13</v>
          </cell>
          <cell r="C78" t="str">
            <v>DEFYANCE</v>
          </cell>
          <cell r="D78" t="str">
            <v>DEFYANCE</v>
          </cell>
          <cell r="E78" t="str">
            <v>DYNAMIC CUSHION</v>
          </cell>
          <cell r="F78" t="str">
            <v>mens</v>
          </cell>
          <cell r="G78" t="str">
            <v>110417</v>
          </cell>
          <cell r="H78" t="str">
            <v>1B</v>
          </cell>
          <cell r="I78" t="str">
            <v>096</v>
          </cell>
          <cell r="J78" t="str">
            <v>096 Black/Yellow/White</v>
          </cell>
          <cell r="K78" t="str">
            <v>Carry Over</v>
          </cell>
          <cell r="L78">
            <v>45809</v>
          </cell>
          <cell r="M78">
            <v>46204</v>
          </cell>
        </row>
        <row r="78">
          <cell r="O78" t="str">
            <v>Inline</v>
          </cell>
        </row>
        <row r="78">
          <cell r="Q78" t="str">
            <v>F2025</v>
          </cell>
          <cell r="R78" t="str">
            <v>7-13, 14, 15</v>
          </cell>
          <cell r="S78">
            <v>150</v>
          </cell>
          <cell r="T78">
            <v>75</v>
          </cell>
          <cell r="U78">
            <v>200</v>
          </cell>
          <cell r="V78">
            <v>100</v>
          </cell>
          <cell r="W78">
            <v>135</v>
          </cell>
          <cell r="X78">
            <v>67.5</v>
          </cell>
          <cell r="Y78">
            <v>1800</v>
          </cell>
          <cell r="Z78">
            <v>900</v>
          </cell>
          <cell r="AA78">
            <v>1800</v>
          </cell>
          <cell r="AB78">
            <v>900</v>
          </cell>
          <cell r="AC78">
            <v>1350</v>
          </cell>
          <cell r="AD78">
            <v>675</v>
          </cell>
        </row>
        <row r="79">
          <cell r="A79" t="str">
            <v>1104171D096</v>
          </cell>
          <cell r="B79" t="str">
            <v>Defyance 13</v>
          </cell>
          <cell r="C79" t="str">
            <v>DEFYANCE</v>
          </cell>
          <cell r="D79" t="str">
            <v>DEFYANCE</v>
          </cell>
          <cell r="E79" t="str">
            <v>DYNAMIC CUSHION</v>
          </cell>
          <cell r="F79" t="str">
            <v>mens</v>
          </cell>
          <cell r="G79" t="str">
            <v>110417</v>
          </cell>
          <cell r="H79" t="str">
            <v>1D</v>
          </cell>
          <cell r="I79" t="str">
            <v>096</v>
          </cell>
          <cell r="J79" t="str">
            <v>096 Black/Yellow/White</v>
          </cell>
          <cell r="K79" t="str">
            <v>Carry Over</v>
          </cell>
          <cell r="L79">
            <v>45809</v>
          </cell>
          <cell r="M79">
            <v>46204</v>
          </cell>
        </row>
        <row r="79">
          <cell r="O79" t="str">
            <v>Inline</v>
          </cell>
        </row>
        <row r="79">
          <cell r="Q79" t="str">
            <v>F2025</v>
          </cell>
          <cell r="R79" t="str">
            <v>7-13, 14, 15</v>
          </cell>
          <cell r="S79">
            <v>150</v>
          </cell>
          <cell r="T79">
            <v>75</v>
          </cell>
          <cell r="U79">
            <v>200</v>
          </cell>
          <cell r="V79">
            <v>100</v>
          </cell>
          <cell r="W79">
            <v>135</v>
          </cell>
          <cell r="X79">
            <v>67.5</v>
          </cell>
          <cell r="Y79">
            <v>1800</v>
          </cell>
          <cell r="Z79">
            <v>900</v>
          </cell>
          <cell r="AA79">
            <v>1800</v>
          </cell>
          <cell r="AB79">
            <v>900</v>
          </cell>
          <cell r="AC79">
            <v>1350</v>
          </cell>
          <cell r="AD79">
            <v>675</v>
          </cell>
        </row>
        <row r="80">
          <cell r="A80" t="str">
            <v>1204061B087</v>
          </cell>
          <cell r="B80" t="str">
            <v>Defyance 13</v>
          </cell>
          <cell r="C80" t="str">
            <v>DEFYANCE</v>
          </cell>
          <cell r="D80" t="str">
            <v>DEFYANCE</v>
          </cell>
          <cell r="E80" t="str">
            <v>DYNAMIC CUSHION</v>
          </cell>
          <cell r="F80" t="str">
            <v>womens</v>
          </cell>
          <cell r="G80" t="str">
            <v>120406</v>
          </cell>
          <cell r="H80" t="str">
            <v>1B</v>
          </cell>
          <cell r="I80" t="str">
            <v>087</v>
          </cell>
          <cell r="J80" t="str">
            <v>087 Black/Peach/White</v>
          </cell>
          <cell r="K80" t="str">
            <v>Carry Over</v>
          </cell>
          <cell r="L80">
            <v>45809</v>
          </cell>
          <cell r="M80">
            <v>46204</v>
          </cell>
        </row>
        <row r="80">
          <cell r="O80" t="str">
            <v>Inline</v>
          </cell>
        </row>
        <row r="80">
          <cell r="Q80" t="str">
            <v>F2025</v>
          </cell>
          <cell r="R80" t="str">
            <v>5-12</v>
          </cell>
          <cell r="S80">
            <v>150</v>
          </cell>
          <cell r="T80">
            <v>75</v>
          </cell>
          <cell r="U80">
            <v>200</v>
          </cell>
          <cell r="V80">
            <v>100</v>
          </cell>
          <cell r="W80">
            <v>135</v>
          </cell>
          <cell r="X80">
            <v>67.5</v>
          </cell>
          <cell r="Y80">
            <v>1800</v>
          </cell>
          <cell r="Z80">
            <v>900</v>
          </cell>
          <cell r="AA80">
            <v>1800</v>
          </cell>
          <cell r="AB80">
            <v>900</v>
          </cell>
          <cell r="AC80">
            <v>1350</v>
          </cell>
          <cell r="AD80">
            <v>675</v>
          </cell>
        </row>
        <row r="81">
          <cell r="A81" t="str">
            <v>1204062A087</v>
          </cell>
          <cell r="B81" t="str">
            <v>Defyance 13</v>
          </cell>
          <cell r="C81" t="str">
            <v>DEFYANCE</v>
          </cell>
          <cell r="D81" t="str">
            <v>DEFYANCE</v>
          </cell>
          <cell r="E81" t="str">
            <v>DYNAMIC CUSHION</v>
          </cell>
          <cell r="F81" t="str">
            <v>womens</v>
          </cell>
          <cell r="G81" t="str">
            <v>120406</v>
          </cell>
          <cell r="H81" t="str">
            <v>2A</v>
          </cell>
          <cell r="I81" t="str">
            <v>087</v>
          </cell>
          <cell r="J81" t="str">
            <v>087 Black/Peach/White</v>
          </cell>
          <cell r="K81" t="str">
            <v>Carry Over</v>
          </cell>
          <cell r="L81">
            <v>45809</v>
          </cell>
          <cell r="M81">
            <v>46204</v>
          </cell>
        </row>
        <row r="81">
          <cell r="O81" t="str">
            <v>Inline</v>
          </cell>
        </row>
        <row r="81">
          <cell r="Q81" t="str">
            <v>F2025</v>
          </cell>
          <cell r="R81" t="str">
            <v>5-12</v>
          </cell>
          <cell r="S81">
            <v>150</v>
          </cell>
          <cell r="T81">
            <v>75</v>
          </cell>
          <cell r="U81">
            <v>200</v>
          </cell>
          <cell r="V81">
            <v>100</v>
          </cell>
          <cell r="W81">
            <v>135</v>
          </cell>
          <cell r="X81">
            <v>67.5</v>
          </cell>
          <cell r="Y81">
            <v>1800</v>
          </cell>
          <cell r="Z81">
            <v>900</v>
          </cell>
          <cell r="AA81">
            <v>1800</v>
          </cell>
          <cell r="AB81">
            <v>900</v>
          </cell>
          <cell r="AC81">
            <v>1350</v>
          </cell>
          <cell r="AD81">
            <v>675</v>
          </cell>
        </row>
        <row r="82">
          <cell r="A82" t="str">
            <v>1104581D161</v>
          </cell>
          <cell r="B82" t="str">
            <v>Defyance Max</v>
          </cell>
          <cell r="C82" t="str">
            <v>DEFYANCE MAX</v>
          </cell>
          <cell r="D82" t="str">
            <v>DEFYANCE MAX</v>
          </cell>
          <cell r="E82" t="str">
            <v>MAX CUSHION</v>
          </cell>
          <cell r="F82" t="str">
            <v>mens</v>
          </cell>
          <cell r="G82" t="str">
            <v>110458</v>
          </cell>
          <cell r="H82" t="str">
            <v>1D</v>
          </cell>
          <cell r="I82" t="str">
            <v>161</v>
          </cell>
          <cell r="J82" t="str">
            <v>161 White/Navy/Apricot</v>
          </cell>
          <cell r="K82" t="str">
            <v>New</v>
          </cell>
          <cell r="L82">
            <v>45839</v>
          </cell>
          <cell r="M82">
            <v>46204</v>
          </cell>
        </row>
        <row r="82">
          <cell r="O82" t="str">
            <v>Inline</v>
          </cell>
        </row>
        <row r="82">
          <cell r="Q82" t="str">
            <v>F2025</v>
          </cell>
          <cell r="R82" t="str">
            <v>7-13, 14, 15</v>
          </cell>
          <cell r="S82">
            <v>160</v>
          </cell>
          <cell r="T82">
            <v>80</v>
          </cell>
          <cell r="U82">
            <v>200</v>
          </cell>
          <cell r="V82">
            <v>100</v>
          </cell>
          <cell r="W82">
            <v>140</v>
          </cell>
          <cell r="X82">
            <v>70</v>
          </cell>
          <cell r="Y82">
            <v>2000</v>
          </cell>
          <cell r="Z82">
            <v>1000</v>
          </cell>
          <cell r="AA82">
            <v>1900</v>
          </cell>
          <cell r="AB82">
            <v>950</v>
          </cell>
          <cell r="AC82">
            <v>1450</v>
          </cell>
          <cell r="AD82">
            <v>725</v>
          </cell>
        </row>
        <row r="83">
          <cell r="A83" t="str">
            <v>1204471B073</v>
          </cell>
          <cell r="B83" t="str">
            <v>Defyance Max</v>
          </cell>
          <cell r="C83" t="str">
            <v>DEFYANCE MAX</v>
          </cell>
          <cell r="D83" t="str">
            <v>DEFYANCE MAX</v>
          </cell>
          <cell r="E83" t="str">
            <v>MAX CUSHION</v>
          </cell>
          <cell r="F83" t="str">
            <v>womens</v>
          </cell>
          <cell r="G83" t="str">
            <v>120447</v>
          </cell>
          <cell r="H83" t="str">
            <v>1B</v>
          </cell>
          <cell r="I83" t="str">
            <v>073</v>
          </cell>
          <cell r="J83" t="str">
            <v>073 Black/Purple/Rose</v>
          </cell>
          <cell r="K83" t="str">
            <v>New</v>
          </cell>
          <cell r="L83">
            <v>45839</v>
          </cell>
          <cell r="M83">
            <v>46204</v>
          </cell>
        </row>
        <row r="83">
          <cell r="O83" t="str">
            <v>Inline</v>
          </cell>
        </row>
        <row r="83">
          <cell r="Q83" t="str">
            <v>F2025</v>
          </cell>
          <cell r="R83" t="str">
            <v>6-12</v>
          </cell>
          <cell r="S83">
            <v>160</v>
          </cell>
          <cell r="T83">
            <v>80</v>
          </cell>
          <cell r="U83">
            <v>200</v>
          </cell>
          <cell r="V83">
            <v>100</v>
          </cell>
          <cell r="W83">
            <v>140</v>
          </cell>
          <cell r="X83">
            <v>70</v>
          </cell>
          <cell r="Y83">
            <v>2000</v>
          </cell>
          <cell r="Z83">
            <v>1000</v>
          </cell>
          <cell r="AA83">
            <v>1900</v>
          </cell>
          <cell r="AB83">
            <v>950</v>
          </cell>
          <cell r="AC83">
            <v>1450</v>
          </cell>
          <cell r="AD83">
            <v>725</v>
          </cell>
        </row>
        <row r="84">
          <cell r="A84" t="str">
            <v>1104601D047</v>
          </cell>
          <cell r="B84" t="str">
            <v>Divide 6</v>
          </cell>
          <cell r="C84" t="str">
            <v>DIVIDE</v>
          </cell>
          <cell r="D84" t="str">
            <v>DIVIDE</v>
          </cell>
          <cell r="E84" t="str">
            <v>TRAIL</v>
          </cell>
          <cell r="F84" t="str">
            <v>mens</v>
          </cell>
          <cell r="G84" t="str">
            <v>110460</v>
          </cell>
          <cell r="H84" t="str">
            <v>1D</v>
          </cell>
          <cell r="I84" t="str">
            <v>047</v>
          </cell>
          <cell r="J84" t="str">
            <v>047 Black/Black/Primer Gray</v>
          </cell>
          <cell r="K84" t="str">
            <v>New</v>
          </cell>
          <cell r="L84">
            <v>45839</v>
          </cell>
          <cell r="M84">
            <v>46204</v>
          </cell>
        </row>
        <row r="84">
          <cell r="O84" t="str">
            <v>Inline</v>
          </cell>
        </row>
        <row r="84">
          <cell r="Q84" t="str">
            <v>F2025</v>
          </cell>
          <cell r="R84" t="str">
            <v>7-13, 14, 15</v>
          </cell>
          <cell r="S84">
            <v>110</v>
          </cell>
          <cell r="T84">
            <v>55</v>
          </cell>
          <cell r="U84">
            <v>180</v>
          </cell>
          <cell r="V84">
            <v>90</v>
          </cell>
          <cell r="W84">
            <v>110</v>
          </cell>
          <cell r="X84">
            <v>55</v>
          </cell>
          <cell r="Y84">
            <v>1300</v>
          </cell>
          <cell r="Z84">
            <v>650</v>
          </cell>
          <cell r="AA84">
            <v>1300</v>
          </cell>
          <cell r="AB84">
            <v>650</v>
          </cell>
          <cell r="AC84">
            <v>1000</v>
          </cell>
          <cell r="AD84">
            <v>500</v>
          </cell>
        </row>
        <row r="85">
          <cell r="A85" t="str">
            <v>1104601D221</v>
          </cell>
          <cell r="B85" t="str">
            <v>Divide 6</v>
          </cell>
          <cell r="C85" t="str">
            <v>DIVIDE</v>
          </cell>
          <cell r="D85" t="str">
            <v>DIVIDE</v>
          </cell>
          <cell r="E85" t="str">
            <v>TRAIL</v>
          </cell>
          <cell r="F85" t="str">
            <v>mens</v>
          </cell>
          <cell r="G85" t="str">
            <v>110460</v>
          </cell>
          <cell r="H85" t="str">
            <v>1D</v>
          </cell>
          <cell r="I85" t="str">
            <v>221</v>
          </cell>
          <cell r="J85" t="str">
            <v>221 Chateau/Pearl/Lime</v>
          </cell>
          <cell r="K85" t="str">
            <v>New</v>
          </cell>
          <cell r="L85">
            <v>45839</v>
          </cell>
          <cell r="M85">
            <v>46204</v>
          </cell>
        </row>
        <row r="85">
          <cell r="O85" t="str">
            <v>Inline</v>
          </cell>
        </row>
        <row r="85">
          <cell r="Q85" t="str">
            <v>F2025</v>
          </cell>
          <cell r="R85" t="str">
            <v>7-13, 14, 15</v>
          </cell>
          <cell r="S85">
            <v>110</v>
          </cell>
          <cell r="T85">
            <v>55</v>
          </cell>
          <cell r="U85">
            <v>180</v>
          </cell>
          <cell r="V85">
            <v>90</v>
          </cell>
          <cell r="W85">
            <v>110</v>
          </cell>
          <cell r="X85">
            <v>55</v>
          </cell>
          <cell r="Y85">
            <v>1300</v>
          </cell>
          <cell r="Z85">
            <v>650</v>
          </cell>
          <cell r="AA85">
            <v>1300</v>
          </cell>
          <cell r="AB85">
            <v>650</v>
          </cell>
          <cell r="AC85">
            <v>1000</v>
          </cell>
          <cell r="AD85">
            <v>500</v>
          </cell>
        </row>
        <row r="86">
          <cell r="A86" t="str">
            <v>1104601D405</v>
          </cell>
          <cell r="B86" t="str">
            <v>Divide 6</v>
          </cell>
          <cell r="C86" t="str">
            <v>DIVIDE</v>
          </cell>
          <cell r="D86" t="str">
            <v>DIVIDE</v>
          </cell>
          <cell r="E86" t="str">
            <v>TRAIL</v>
          </cell>
          <cell r="F86" t="str">
            <v>mens</v>
          </cell>
          <cell r="G86" t="str">
            <v>110460</v>
          </cell>
          <cell r="H86" t="str">
            <v>1D</v>
          </cell>
          <cell r="I86" t="str">
            <v>405</v>
          </cell>
          <cell r="J86" t="str">
            <v>405 Surf/Regatta/Nightlife</v>
          </cell>
          <cell r="K86" t="str">
            <v>New</v>
          </cell>
          <cell r="L86">
            <v>45839</v>
          </cell>
          <cell r="M86">
            <v>46204</v>
          </cell>
        </row>
        <row r="86">
          <cell r="O86" t="str">
            <v>Inline</v>
          </cell>
        </row>
        <row r="86">
          <cell r="Q86" t="str">
            <v>F2025</v>
          </cell>
          <cell r="R86" t="str">
            <v>7-13, 14, 15</v>
          </cell>
          <cell r="S86">
            <v>110</v>
          </cell>
          <cell r="T86">
            <v>55</v>
          </cell>
          <cell r="U86">
            <v>180</v>
          </cell>
          <cell r="V86">
            <v>90</v>
          </cell>
          <cell r="W86">
            <v>110</v>
          </cell>
          <cell r="X86">
            <v>55</v>
          </cell>
          <cell r="Y86">
            <v>1300</v>
          </cell>
          <cell r="Z86">
            <v>650</v>
          </cell>
          <cell r="AA86">
            <v>1300</v>
          </cell>
          <cell r="AB86">
            <v>650</v>
          </cell>
          <cell r="AC86">
            <v>1000</v>
          </cell>
          <cell r="AD86">
            <v>500</v>
          </cell>
        </row>
        <row r="87">
          <cell r="A87" t="str">
            <v>1204491B047</v>
          </cell>
          <cell r="B87" t="str">
            <v>Divide 6</v>
          </cell>
          <cell r="C87" t="str">
            <v>DIVIDE</v>
          </cell>
          <cell r="D87" t="str">
            <v>DIVIDE</v>
          </cell>
          <cell r="E87" t="str">
            <v>TRAIL</v>
          </cell>
          <cell r="F87" t="str">
            <v>womens</v>
          </cell>
          <cell r="G87" t="str">
            <v>120449</v>
          </cell>
          <cell r="H87" t="str">
            <v>1B</v>
          </cell>
          <cell r="I87" t="str">
            <v>047</v>
          </cell>
          <cell r="J87" t="str">
            <v>047 Black/Black/Primer Gray</v>
          </cell>
          <cell r="K87" t="str">
            <v>New</v>
          </cell>
          <cell r="L87">
            <v>45839</v>
          </cell>
          <cell r="M87">
            <v>46204</v>
          </cell>
        </row>
        <row r="87">
          <cell r="O87" t="str">
            <v>Inline</v>
          </cell>
        </row>
        <row r="87">
          <cell r="Q87" t="str">
            <v>F2025</v>
          </cell>
          <cell r="R87" t="str">
            <v>5-11, 12</v>
          </cell>
          <cell r="S87">
            <v>110</v>
          </cell>
          <cell r="T87">
            <v>55</v>
          </cell>
          <cell r="U87">
            <v>180</v>
          </cell>
          <cell r="V87">
            <v>90</v>
          </cell>
          <cell r="W87">
            <v>110</v>
          </cell>
          <cell r="X87">
            <v>55</v>
          </cell>
          <cell r="Y87">
            <v>1300</v>
          </cell>
          <cell r="Z87">
            <v>650</v>
          </cell>
          <cell r="AA87">
            <v>1300</v>
          </cell>
          <cell r="AB87">
            <v>650</v>
          </cell>
          <cell r="AC87">
            <v>1000</v>
          </cell>
          <cell r="AD87">
            <v>500</v>
          </cell>
        </row>
        <row r="88">
          <cell r="A88" t="str">
            <v>1204491B087</v>
          </cell>
          <cell r="B88" t="str">
            <v>Divide 6</v>
          </cell>
          <cell r="C88" t="str">
            <v>DIVIDE</v>
          </cell>
          <cell r="D88" t="str">
            <v>DIVIDE</v>
          </cell>
          <cell r="E88" t="str">
            <v>TRAIL</v>
          </cell>
          <cell r="F88" t="str">
            <v>womens</v>
          </cell>
          <cell r="G88" t="str">
            <v>120449</v>
          </cell>
          <cell r="H88" t="str">
            <v>1B</v>
          </cell>
          <cell r="I88" t="str">
            <v>087</v>
          </cell>
          <cell r="J88" t="str">
            <v>087 Ebony/Fuchsia/Lime</v>
          </cell>
          <cell r="K88" t="str">
            <v>New</v>
          </cell>
          <cell r="L88">
            <v>45839</v>
          </cell>
          <cell r="M88">
            <v>46204</v>
          </cell>
        </row>
        <row r="88">
          <cell r="O88" t="str">
            <v>Inline</v>
          </cell>
        </row>
        <row r="88">
          <cell r="Q88" t="str">
            <v>F2025</v>
          </cell>
          <cell r="R88" t="str">
            <v>5-11, 12</v>
          </cell>
          <cell r="S88">
            <v>110</v>
          </cell>
          <cell r="T88">
            <v>55</v>
          </cell>
          <cell r="U88">
            <v>180</v>
          </cell>
          <cell r="V88">
            <v>90</v>
          </cell>
          <cell r="W88">
            <v>110</v>
          </cell>
          <cell r="X88">
            <v>55</v>
          </cell>
          <cell r="Y88">
            <v>1300</v>
          </cell>
          <cell r="Z88">
            <v>650</v>
          </cell>
          <cell r="AA88">
            <v>1300</v>
          </cell>
          <cell r="AB88">
            <v>650</v>
          </cell>
          <cell r="AC88">
            <v>1000</v>
          </cell>
          <cell r="AD88">
            <v>500</v>
          </cell>
        </row>
        <row r="89">
          <cell r="A89" t="str">
            <v>1104591D020</v>
          </cell>
          <cell r="B89" t="str">
            <v>Divide 6 GTX</v>
          </cell>
          <cell r="C89" t="str">
            <v>DIVIDE GTX</v>
          </cell>
          <cell r="D89" t="str">
            <v>DIVIDE GTX</v>
          </cell>
          <cell r="E89" t="str">
            <v>TRAIL</v>
          </cell>
          <cell r="F89" t="str">
            <v>mens</v>
          </cell>
          <cell r="G89" t="str">
            <v>110459</v>
          </cell>
          <cell r="H89" t="str">
            <v>1D</v>
          </cell>
          <cell r="I89" t="str">
            <v>020</v>
          </cell>
          <cell r="J89" t="str">
            <v>020 Black/Black/Ebony</v>
          </cell>
          <cell r="K89" t="str">
            <v>New</v>
          </cell>
          <cell r="L89">
            <v>45870</v>
          </cell>
          <cell r="M89">
            <v>46235</v>
          </cell>
        </row>
        <row r="89">
          <cell r="O89" t="str">
            <v>Inline</v>
          </cell>
        </row>
        <row r="89">
          <cell r="Q89" t="str">
            <v>F2025</v>
          </cell>
          <cell r="R89" t="str">
            <v>7-13, 14, 15</v>
          </cell>
          <cell r="S89">
            <v>130</v>
          </cell>
          <cell r="T89">
            <v>65</v>
          </cell>
          <cell r="U89">
            <v>190</v>
          </cell>
          <cell r="V89">
            <v>95</v>
          </cell>
          <cell r="W89">
            <v>120</v>
          </cell>
          <cell r="X89">
            <v>60</v>
          </cell>
          <cell r="Y89">
            <v>1500</v>
          </cell>
          <cell r="Z89">
            <v>750</v>
          </cell>
          <cell r="AA89">
            <v>1500</v>
          </cell>
          <cell r="AB89">
            <v>750</v>
          </cell>
          <cell r="AC89">
            <v>1200</v>
          </cell>
          <cell r="AD89">
            <v>600</v>
          </cell>
        </row>
        <row r="90">
          <cell r="A90" t="str">
            <v>1204481B020</v>
          </cell>
          <cell r="B90" t="str">
            <v>Divide 6 GTX</v>
          </cell>
          <cell r="C90" t="str">
            <v>DIVIDE GTX</v>
          </cell>
          <cell r="D90" t="str">
            <v>DIVIDE GTX</v>
          </cell>
          <cell r="E90" t="str">
            <v>TRAIL</v>
          </cell>
          <cell r="F90" t="str">
            <v>womens</v>
          </cell>
          <cell r="G90" t="str">
            <v>120448</v>
          </cell>
          <cell r="H90" t="str">
            <v>1B</v>
          </cell>
          <cell r="I90" t="str">
            <v>020</v>
          </cell>
          <cell r="J90" t="str">
            <v>020 Black/Black/Ebony</v>
          </cell>
          <cell r="K90" t="str">
            <v>New</v>
          </cell>
          <cell r="L90">
            <v>45870</v>
          </cell>
          <cell r="M90">
            <v>46235</v>
          </cell>
        </row>
        <row r="90">
          <cell r="O90" t="str">
            <v>Inline</v>
          </cell>
        </row>
        <row r="90">
          <cell r="Q90" t="str">
            <v>F2025</v>
          </cell>
          <cell r="R90" t="str">
            <v>5-11, 12</v>
          </cell>
          <cell r="S90">
            <v>130</v>
          </cell>
          <cell r="T90">
            <v>65</v>
          </cell>
          <cell r="U90">
            <v>190</v>
          </cell>
          <cell r="V90">
            <v>95</v>
          </cell>
          <cell r="W90">
            <v>120</v>
          </cell>
          <cell r="X90">
            <v>60</v>
          </cell>
          <cell r="Y90">
            <v>1500</v>
          </cell>
          <cell r="Z90">
            <v>750</v>
          </cell>
          <cell r="AA90">
            <v>1500</v>
          </cell>
          <cell r="AB90">
            <v>750</v>
          </cell>
          <cell r="AC90">
            <v>1200</v>
          </cell>
          <cell r="AD90">
            <v>600</v>
          </cell>
        </row>
        <row r="91">
          <cell r="A91" t="str">
            <v>1104421D020</v>
          </cell>
          <cell r="B91" t="str">
            <v>Ghost 17</v>
          </cell>
          <cell r="C91" t="str">
            <v>GHOST</v>
          </cell>
          <cell r="D91" t="str">
            <v>GHOST</v>
          </cell>
          <cell r="E91" t="str">
            <v>DYNAMIC CUSHION</v>
          </cell>
          <cell r="F91" t="str">
            <v>mens</v>
          </cell>
          <cell r="G91" t="str">
            <v>110442</v>
          </cell>
          <cell r="H91" t="str">
            <v>1D</v>
          </cell>
          <cell r="I91" t="str">
            <v>020</v>
          </cell>
          <cell r="J91" t="str">
            <v>020 Black/Black/Ebony</v>
          </cell>
          <cell r="K91" t="str">
            <v>New</v>
          </cell>
          <cell r="L91">
            <v>45809</v>
          </cell>
          <cell r="M91">
            <v>46174</v>
          </cell>
        </row>
        <row r="91">
          <cell r="O91" t="str">
            <v>Inline</v>
          </cell>
        </row>
        <row r="91">
          <cell r="Q91" t="str">
            <v>F2025</v>
          </cell>
          <cell r="R91" t="str">
            <v>7-13, 14, 15</v>
          </cell>
          <cell r="S91">
            <v>150</v>
          </cell>
          <cell r="T91">
            <v>75</v>
          </cell>
          <cell r="U91">
            <v>200</v>
          </cell>
          <cell r="V91">
            <v>100</v>
          </cell>
          <cell r="W91">
            <v>135</v>
          </cell>
          <cell r="X91">
            <v>67.5</v>
          </cell>
          <cell r="Y91">
            <v>1800</v>
          </cell>
          <cell r="Z91">
            <v>900</v>
          </cell>
          <cell r="AA91">
            <v>1900</v>
          </cell>
          <cell r="AB91">
            <v>950</v>
          </cell>
          <cell r="AC91">
            <v>1350</v>
          </cell>
          <cell r="AD91">
            <v>675</v>
          </cell>
        </row>
        <row r="92">
          <cell r="A92" t="str">
            <v>1104422E020</v>
          </cell>
          <cell r="B92" t="str">
            <v>Ghost 17</v>
          </cell>
          <cell r="C92" t="str">
            <v>GHOST</v>
          </cell>
          <cell r="D92" t="str">
            <v>GHOST</v>
          </cell>
          <cell r="E92" t="str">
            <v>DYNAMIC CUSHION</v>
          </cell>
          <cell r="F92" t="str">
            <v>mens</v>
          </cell>
          <cell r="G92" t="str">
            <v>110442</v>
          </cell>
          <cell r="H92" t="str">
            <v>2E</v>
          </cell>
          <cell r="I92" t="str">
            <v>020</v>
          </cell>
          <cell r="J92" t="str">
            <v>020 Black/Black/Ebony</v>
          </cell>
          <cell r="K92" t="str">
            <v>New</v>
          </cell>
          <cell r="L92">
            <v>45809</v>
          </cell>
          <cell r="M92">
            <v>46174</v>
          </cell>
        </row>
        <row r="92">
          <cell r="O92" t="str">
            <v>Inline</v>
          </cell>
        </row>
        <row r="92">
          <cell r="Q92" t="str">
            <v>F2025</v>
          </cell>
          <cell r="R92" t="str">
            <v>7-13, 14, 15</v>
          </cell>
          <cell r="S92">
            <v>150</v>
          </cell>
          <cell r="T92">
            <v>75</v>
          </cell>
          <cell r="U92">
            <v>200</v>
          </cell>
          <cell r="V92">
            <v>100</v>
          </cell>
          <cell r="W92">
            <v>135</v>
          </cell>
          <cell r="X92">
            <v>67.5</v>
          </cell>
          <cell r="Y92">
            <v>1800</v>
          </cell>
          <cell r="Z92">
            <v>900</v>
          </cell>
          <cell r="AA92">
            <v>1900</v>
          </cell>
          <cell r="AB92">
            <v>950</v>
          </cell>
          <cell r="AC92">
            <v>1350</v>
          </cell>
          <cell r="AD92">
            <v>675</v>
          </cell>
        </row>
        <row r="93">
          <cell r="A93" t="str">
            <v>1104424E020</v>
          </cell>
          <cell r="B93" t="str">
            <v>Ghost 17</v>
          </cell>
          <cell r="C93" t="str">
            <v>GHOST</v>
          </cell>
          <cell r="D93" t="str">
            <v>GHOST</v>
          </cell>
          <cell r="E93" t="str">
            <v>DYNAMIC CUSHION</v>
          </cell>
          <cell r="F93" t="str">
            <v>mens</v>
          </cell>
          <cell r="G93" t="str">
            <v>110442</v>
          </cell>
          <cell r="H93" t="str">
            <v>4E</v>
          </cell>
          <cell r="I93" t="str">
            <v>020</v>
          </cell>
          <cell r="J93" t="str">
            <v>020 Black/Black/Ebony</v>
          </cell>
          <cell r="K93" t="str">
            <v>New</v>
          </cell>
          <cell r="L93">
            <v>45809</v>
          </cell>
          <cell r="M93">
            <v>46174</v>
          </cell>
        </row>
        <row r="93">
          <cell r="O93" t="str">
            <v>Inline</v>
          </cell>
        </row>
        <row r="93">
          <cell r="Q93" t="str">
            <v>F2025</v>
          </cell>
          <cell r="R93" t="str">
            <v>8-13, 14, 15</v>
          </cell>
          <cell r="S93">
            <v>150</v>
          </cell>
          <cell r="T93">
            <v>75</v>
          </cell>
          <cell r="U93">
            <v>200</v>
          </cell>
          <cell r="V93">
            <v>100</v>
          </cell>
          <cell r="W93">
            <v>135</v>
          </cell>
          <cell r="X93">
            <v>67.5</v>
          </cell>
          <cell r="Y93">
            <v>1800</v>
          </cell>
          <cell r="Z93">
            <v>900</v>
          </cell>
          <cell r="AA93">
            <v>1900</v>
          </cell>
          <cell r="AB93">
            <v>950</v>
          </cell>
          <cell r="AC93">
            <v>1350</v>
          </cell>
          <cell r="AD93">
            <v>675</v>
          </cell>
        </row>
        <row r="94">
          <cell r="A94" t="str">
            <v>1104421D090</v>
          </cell>
          <cell r="B94" t="str">
            <v>Ghost 17</v>
          </cell>
          <cell r="C94" t="str">
            <v>GHOST</v>
          </cell>
          <cell r="D94" t="str">
            <v>GHOST</v>
          </cell>
          <cell r="E94" t="str">
            <v>DYNAMIC CUSHION</v>
          </cell>
          <cell r="F94" t="str">
            <v>mens</v>
          </cell>
          <cell r="G94" t="str">
            <v>110442</v>
          </cell>
          <cell r="H94" t="str">
            <v>1D</v>
          </cell>
          <cell r="I94" t="str">
            <v>090</v>
          </cell>
          <cell r="J94" t="str">
            <v>090 Black/Grey/White</v>
          </cell>
          <cell r="K94" t="str">
            <v>New</v>
          </cell>
          <cell r="L94">
            <v>45809</v>
          </cell>
          <cell r="M94">
            <v>46174</v>
          </cell>
        </row>
        <row r="94">
          <cell r="O94" t="str">
            <v>Inline</v>
          </cell>
        </row>
        <row r="94">
          <cell r="Q94" t="str">
            <v>F2025</v>
          </cell>
          <cell r="R94" t="str">
            <v>7-13, 14, 15</v>
          </cell>
          <cell r="S94">
            <v>150</v>
          </cell>
          <cell r="T94">
            <v>75</v>
          </cell>
          <cell r="U94">
            <v>200</v>
          </cell>
          <cell r="V94">
            <v>100</v>
          </cell>
          <cell r="W94">
            <v>135</v>
          </cell>
          <cell r="X94">
            <v>67.5</v>
          </cell>
          <cell r="Y94">
            <v>1800</v>
          </cell>
          <cell r="Z94">
            <v>900</v>
          </cell>
          <cell r="AA94">
            <v>1900</v>
          </cell>
          <cell r="AB94">
            <v>950</v>
          </cell>
          <cell r="AC94">
            <v>1350</v>
          </cell>
          <cell r="AD94">
            <v>675</v>
          </cell>
        </row>
        <row r="95">
          <cell r="A95" t="str">
            <v>1104421D112</v>
          </cell>
          <cell r="B95" t="str">
            <v>Ghost 17</v>
          </cell>
          <cell r="C95" t="str">
            <v>GHOST</v>
          </cell>
          <cell r="D95" t="str">
            <v>GHOST</v>
          </cell>
          <cell r="E95" t="str">
            <v>DYNAMIC CUSHION</v>
          </cell>
          <cell r="F95" t="str">
            <v>mens</v>
          </cell>
          <cell r="G95" t="str">
            <v>110442</v>
          </cell>
          <cell r="H95" t="str">
            <v>1D</v>
          </cell>
          <cell r="I95" t="str">
            <v>112</v>
          </cell>
          <cell r="J95" t="str">
            <v>112 White/Pink Clay/Gecko</v>
          </cell>
          <cell r="K95" t="str">
            <v>New</v>
          </cell>
          <cell r="L95">
            <v>45809</v>
          </cell>
          <cell r="M95">
            <v>46174</v>
          </cell>
        </row>
        <row r="95">
          <cell r="O95" t="str">
            <v>Inline</v>
          </cell>
        </row>
        <row r="95">
          <cell r="Q95" t="str">
            <v>F2025</v>
          </cell>
          <cell r="R95" t="str">
            <v>7-13, 14, 15</v>
          </cell>
          <cell r="S95">
            <v>150</v>
          </cell>
          <cell r="T95">
            <v>75</v>
          </cell>
          <cell r="U95">
            <v>200</v>
          </cell>
          <cell r="V95">
            <v>100</v>
          </cell>
          <cell r="W95">
            <v>135</v>
          </cell>
          <cell r="X95">
            <v>67.5</v>
          </cell>
          <cell r="Y95">
            <v>1800</v>
          </cell>
          <cell r="Z95">
            <v>900</v>
          </cell>
          <cell r="AA95">
            <v>1900</v>
          </cell>
          <cell r="AB95">
            <v>950</v>
          </cell>
          <cell r="AC95">
            <v>1350</v>
          </cell>
          <cell r="AD95">
            <v>675</v>
          </cell>
        </row>
        <row r="96">
          <cell r="A96" t="str">
            <v>1104421D191</v>
          </cell>
          <cell r="B96" t="str">
            <v>Ghost 17</v>
          </cell>
          <cell r="C96" t="str">
            <v>GHOST</v>
          </cell>
          <cell r="D96" t="str">
            <v>GHOST</v>
          </cell>
          <cell r="E96" t="str">
            <v>DYNAMIC CUSHION</v>
          </cell>
          <cell r="F96" t="str">
            <v>mens</v>
          </cell>
          <cell r="G96" t="str">
            <v>110442</v>
          </cell>
          <cell r="H96" t="str">
            <v>1D</v>
          </cell>
          <cell r="I96" t="str">
            <v>191</v>
          </cell>
          <cell r="J96" t="str">
            <v>191 White/Black/Tea</v>
          </cell>
          <cell r="K96" t="str">
            <v>New</v>
          </cell>
          <cell r="L96">
            <v>45839</v>
          </cell>
          <cell r="M96">
            <v>46174</v>
          </cell>
        </row>
        <row r="96">
          <cell r="O96" t="str">
            <v>Inline Injection</v>
          </cell>
        </row>
        <row r="96">
          <cell r="Q96" t="str">
            <v>F2025</v>
          </cell>
          <cell r="R96" t="str">
            <v>7-13, 14, 15</v>
          </cell>
          <cell r="S96">
            <v>150</v>
          </cell>
          <cell r="T96">
            <v>75</v>
          </cell>
          <cell r="U96">
            <v>200</v>
          </cell>
          <cell r="V96">
            <v>100</v>
          </cell>
          <cell r="W96">
            <v>135</v>
          </cell>
          <cell r="X96">
            <v>67.5</v>
          </cell>
          <cell r="Y96">
            <v>1800</v>
          </cell>
          <cell r="Z96">
            <v>900</v>
          </cell>
          <cell r="AA96">
            <v>1900</v>
          </cell>
          <cell r="AB96">
            <v>950</v>
          </cell>
          <cell r="AC96">
            <v>1350</v>
          </cell>
          <cell r="AD96">
            <v>675</v>
          </cell>
        </row>
        <row r="97">
          <cell r="A97" t="str">
            <v>1104421D325</v>
          </cell>
          <cell r="B97" t="str">
            <v>Ghost 17</v>
          </cell>
          <cell r="C97" t="str">
            <v>GHOST</v>
          </cell>
          <cell r="D97" t="str">
            <v>GHOST</v>
          </cell>
          <cell r="E97" t="str">
            <v>DYNAMIC CUSHION</v>
          </cell>
          <cell r="F97" t="str">
            <v>mens</v>
          </cell>
          <cell r="G97" t="str">
            <v>110442</v>
          </cell>
          <cell r="H97" t="str">
            <v>1D</v>
          </cell>
          <cell r="I97" t="str">
            <v>325</v>
          </cell>
          <cell r="J97" t="str">
            <v>325 Acid Lime/Navy/White</v>
          </cell>
          <cell r="K97" t="str">
            <v>New</v>
          </cell>
          <cell r="L97">
            <v>45809</v>
          </cell>
          <cell r="M97">
            <v>46174</v>
          </cell>
        </row>
        <row r="97">
          <cell r="O97" t="str">
            <v>Inline</v>
          </cell>
        </row>
        <row r="97">
          <cell r="Q97" t="str">
            <v>F2025</v>
          </cell>
          <cell r="R97" t="str">
            <v>7-13, 14, 15</v>
          </cell>
          <cell r="S97">
            <v>150</v>
          </cell>
          <cell r="T97">
            <v>75</v>
          </cell>
          <cell r="U97">
            <v>200</v>
          </cell>
          <cell r="V97">
            <v>100</v>
          </cell>
          <cell r="W97">
            <v>135</v>
          </cell>
          <cell r="X97">
            <v>67.5</v>
          </cell>
          <cell r="Y97">
            <v>1800</v>
          </cell>
          <cell r="Z97">
            <v>900</v>
          </cell>
          <cell r="AA97">
            <v>1900</v>
          </cell>
          <cell r="AB97">
            <v>950</v>
          </cell>
          <cell r="AC97">
            <v>1350</v>
          </cell>
          <cell r="AD97">
            <v>675</v>
          </cell>
        </row>
        <row r="98">
          <cell r="A98" t="str">
            <v>1104421D414</v>
          </cell>
          <cell r="B98" t="str">
            <v>Ghost 17</v>
          </cell>
          <cell r="C98" t="str">
            <v>GHOST</v>
          </cell>
          <cell r="D98" t="str">
            <v>GHOST</v>
          </cell>
          <cell r="E98" t="str">
            <v>DYNAMIC CUSHION</v>
          </cell>
          <cell r="F98" t="str">
            <v>mens</v>
          </cell>
          <cell r="G98" t="str">
            <v>110442</v>
          </cell>
          <cell r="H98" t="str">
            <v>1D</v>
          </cell>
          <cell r="I98" t="str">
            <v>414</v>
          </cell>
          <cell r="J98" t="str">
            <v>414 Peacoat/Lime/Blue</v>
          </cell>
          <cell r="K98" t="str">
            <v>New</v>
          </cell>
          <cell r="L98">
            <v>45809</v>
          </cell>
          <cell r="M98">
            <v>46174</v>
          </cell>
        </row>
        <row r="98">
          <cell r="O98" t="str">
            <v>Inline</v>
          </cell>
        </row>
        <row r="98">
          <cell r="Q98" t="str">
            <v>F2025</v>
          </cell>
          <cell r="R98" t="str">
            <v>7-13, 14, 15</v>
          </cell>
          <cell r="S98">
            <v>150</v>
          </cell>
          <cell r="T98">
            <v>75</v>
          </cell>
          <cell r="U98">
            <v>200</v>
          </cell>
          <cell r="V98">
            <v>100</v>
          </cell>
          <cell r="W98">
            <v>135</v>
          </cell>
          <cell r="X98">
            <v>67.5</v>
          </cell>
          <cell r="Y98">
            <v>1800</v>
          </cell>
          <cell r="Z98">
            <v>900</v>
          </cell>
          <cell r="AA98">
            <v>1900</v>
          </cell>
          <cell r="AB98">
            <v>950</v>
          </cell>
          <cell r="AC98">
            <v>1350</v>
          </cell>
          <cell r="AD98">
            <v>675</v>
          </cell>
        </row>
        <row r="99">
          <cell r="A99" t="str">
            <v>1104421B414</v>
          </cell>
          <cell r="B99" t="str">
            <v>Ghost 17</v>
          </cell>
          <cell r="C99" t="str">
            <v>GHOST</v>
          </cell>
          <cell r="D99" t="str">
            <v>GHOST</v>
          </cell>
          <cell r="E99" t="str">
            <v>DYNAMIC CUSHION</v>
          </cell>
          <cell r="F99" t="str">
            <v>mens</v>
          </cell>
          <cell r="G99" t="str">
            <v>110442</v>
          </cell>
          <cell r="H99" t="str">
            <v>1B</v>
          </cell>
          <cell r="I99" t="str">
            <v>414</v>
          </cell>
          <cell r="J99" t="str">
            <v>414 Peacoat/Lime/Blue</v>
          </cell>
          <cell r="K99" t="str">
            <v>New</v>
          </cell>
          <cell r="L99">
            <v>45809</v>
          </cell>
          <cell r="M99">
            <v>46174</v>
          </cell>
        </row>
        <row r="99">
          <cell r="O99" t="str">
            <v>Inline</v>
          </cell>
        </row>
        <row r="99">
          <cell r="Q99" t="str">
            <v>F2025</v>
          </cell>
          <cell r="R99" t="str">
            <v>8-13, 14, 15</v>
          </cell>
          <cell r="S99">
            <v>150</v>
          </cell>
          <cell r="T99">
            <v>75</v>
          </cell>
          <cell r="U99">
            <v>200</v>
          </cell>
          <cell r="V99">
            <v>100</v>
          </cell>
          <cell r="W99">
            <v>135</v>
          </cell>
          <cell r="X99">
            <v>67.5</v>
          </cell>
          <cell r="Y99">
            <v>1800</v>
          </cell>
          <cell r="Z99">
            <v>900</v>
          </cell>
          <cell r="AA99">
            <v>1900</v>
          </cell>
          <cell r="AB99">
            <v>950</v>
          </cell>
          <cell r="AC99">
            <v>1350</v>
          </cell>
          <cell r="AD99">
            <v>675</v>
          </cell>
        </row>
        <row r="100">
          <cell r="A100" t="str">
            <v>1104422E414</v>
          </cell>
          <cell r="B100" t="str">
            <v>Ghost 17</v>
          </cell>
          <cell r="C100" t="str">
            <v>GHOST</v>
          </cell>
          <cell r="D100" t="str">
            <v>GHOST</v>
          </cell>
          <cell r="E100" t="str">
            <v>DYNAMIC CUSHION</v>
          </cell>
          <cell r="F100" t="str">
            <v>mens</v>
          </cell>
          <cell r="G100" t="str">
            <v>110442</v>
          </cell>
          <cell r="H100" t="str">
            <v>2E</v>
          </cell>
          <cell r="I100" t="str">
            <v>414</v>
          </cell>
          <cell r="J100" t="str">
            <v>414 Peacoat/Lime/Blue</v>
          </cell>
          <cell r="K100" t="str">
            <v>New</v>
          </cell>
          <cell r="L100">
            <v>45809</v>
          </cell>
          <cell r="M100">
            <v>46174</v>
          </cell>
        </row>
        <row r="100">
          <cell r="O100" t="str">
            <v>Inline</v>
          </cell>
        </row>
        <row r="100">
          <cell r="Q100" t="str">
            <v>F2025</v>
          </cell>
          <cell r="R100" t="str">
            <v>7-13, 14, 15</v>
          </cell>
          <cell r="S100">
            <v>150</v>
          </cell>
          <cell r="T100">
            <v>75</v>
          </cell>
          <cell r="U100">
            <v>200</v>
          </cell>
          <cell r="V100">
            <v>100</v>
          </cell>
          <cell r="W100">
            <v>135</v>
          </cell>
          <cell r="X100">
            <v>67.5</v>
          </cell>
          <cell r="Y100">
            <v>1800</v>
          </cell>
          <cell r="Z100">
            <v>900</v>
          </cell>
          <cell r="AA100">
            <v>1900</v>
          </cell>
          <cell r="AB100">
            <v>950</v>
          </cell>
          <cell r="AC100">
            <v>1350</v>
          </cell>
          <cell r="AD100">
            <v>675</v>
          </cell>
        </row>
        <row r="101">
          <cell r="A101" t="str">
            <v>1104421D865</v>
          </cell>
          <cell r="B101" t="str">
            <v>Ghost 17</v>
          </cell>
          <cell r="C101" t="str">
            <v>GHOST</v>
          </cell>
          <cell r="D101" t="str">
            <v>GHOST</v>
          </cell>
          <cell r="E101" t="str">
            <v>DYNAMIC CUSHION</v>
          </cell>
          <cell r="F101" t="str">
            <v>mens</v>
          </cell>
          <cell r="G101" t="str">
            <v>110442</v>
          </cell>
          <cell r="H101" t="str">
            <v>1D</v>
          </cell>
          <cell r="I101" t="str">
            <v>865</v>
          </cell>
          <cell r="J101" t="str">
            <v>865 Blazing Orange/Yellow/Ebony</v>
          </cell>
          <cell r="K101" t="str">
            <v>New</v>
          </cell>
          <cell r="L101">
            <v>45809</v>
          </cell>
          <cell r="M101">
            <v>46174</v>
          </cell>
        </row>
        <row r="101">
          <cell r="O101" t="str">
            <v>Inline</v>
          </cell>
        </row>
        <row r="101">
          <cell r="Q101" t="str">
            <v>F2025</v>
          </cell>
          <cell r="R101" t="str">
            <v>7-13, 14, 15</v>
          </cell>
          <cell r="S101">
            <v>150</v>
          </cell>
          <cell r="T101">
            <v>75</v>
          </cell>
          <cell r="U101">
            <v>200</v>
          </cell>
          <cell r="V101">
            <v>100</v>
          </cell>
          <cell r="W101">
            <v>135</v>
          </cell>
          <cell r="X101">
            <v>67.5</v>
          </cell>
          <cell r="Y101">
            <v>1800</v>
          </cell>
          <cell r="Z101">
            <v>900</v>
          </cell>
          <cell r="AA101">
            <v>1900</v>
          </cell>
          <cell r="AB101">
            <v>950</v>
          </cell>
          <cell r="AC101">
            <v>1350</v>
          </cell>
          <cell r="AD101">
            <v>675</v>
          </cell>
        </row>
        <row r="102">
          <cell r="A102" t="str">
            <v>1204311B020</v>
          </cell>
          <cell r="B102" t="str">
            <v>Ghost 17</v>
          </cell>
          <cell r="C102" t="str">
            <v>GHOST</v>
          </cell>
          <cell r="D102" t="str">
            <v>GHOST</v>
          </cell>
          <cell r="E102" t="str">
            <v>DYNAMIC CUSHION</v>
          </cell>
          <cell r="F102" t="str">
            <v>womens</v>
          </cell>
          <cell r="G102" t="str">
            <v>120431</v>
          </cell>
          <cell r="H102" t="str">
            <v>1B</v>
          </cell>
          <cell r="I102" t="str">
            <v>020</v>
          </cell>
          <cell r="J102" t="str">
            <v>020 Black/Black/Ebony</v>
          </cell>
          <cell r="K102" t="str">
            <v>New</v>
          </cell>
          <cell r="L102">
            <v>45809</v>
          </cell>
          <cell r="M102">
            <v>46174</v>
          </cell>
        </row>
        <row r="102">
          <cell r="O102" t="str">
            <v>Inline</v>
          </cell>
        </row>
        <row r="102">
          <cell r="Q102" t="str">
            <v>F2025</v>
          </cell>
          <cell r="R102" t="str">
            <v>5-12, 13</v>
          </cell>
          <cell r="S102">
            <v>150</v>
          </cell>
          <cell r="T102">
            <v>75</v>
          </cell>
          <cell r="U102">
            <v>200</v>
          </cell>
          <cell r="V102">
            <v>100</v>
          </cell>
          <cell r="W102">
            <v>135</v>
          </cell>
          <cell r="X102">
            <v>67.5</v>
          </cell>
          <cell r="Y102">
            <v>1800</v>
          </cell>
          <cell r="Z102">
            <v>900</v>
          </cell>
          <cell r="AA102">
            <v>1900</v>
          </cell>
          <cell r="AB102">
            <v>950</v>
          </cell>
          <cell r="AC102">
            <v>1350</v>
          </cell>
          <cell r="AD102">
            <v>675</v>
          </cell>
        </row>
        <row r="103">
          <cell r="A103" t="str">
            <v>1204311D020</v>
          </cell>
          <cell r="B103" t="str">
            <v>Ghost 17</v>
          </cell>
          <cell r="C103" t="str">
            <v>GHOST</v>
          </cell>
          <cell r="D103" t="str">
            <v>GHOST</v>
          </cell>
          <cell r="E103" t="str">
            <v>DYNAMIC CUSHION</v>
          </cell>
          <cell r="F103" t="str">
            <v>womens</v>
          </cell>
          <cell r="G103" t="str">
            <v>120431</v>
          </cell>
          <cell r="H103" t="str">
            <v>1D</v>
          </cell>
          <cell r="I103" t="str">
            <v>020</v>
          </cell>
          <cell r="J103" t="str">
            <v>020 Black/Black/Ebony</v>
          </cell>
          <cell r="K103" t="str">
            <v>New</v>
          </cell>
          <cell r="L103">
            <v>45809</v>
          </cell>
          <cell r="M103">
            <v>46174</v>
          </cell>
        </row>
        <row r="103">
          <cell r="O103" t="str">
            <v>Inline</v>
          </cell>
        </row>
        <row r="103">
          <cell r="Q103" t="str">
            <v>F2025</v>
          </cell>
          <cell r="R103" t="str">
            <v>5-12, 13</v>
          </cell>
          <cell r="S103">
            <v>150</v>
          </cell>
          <cell r="T103">
            <v>75</v>
          </cell>
          <cell r="U103">
            <v>200</v>
          </cell>
          <cell r="V103">
            <v>100</v>
          </cell>
          <cell r="W103">
            <v>135</v>
          </cell>
          <cell r="X103">
            <v>67.5</v>
          </cell>
          <cell r="Y103">
            <v>1800</v>
          </cell>
          <cell r="Z103">
            <v>900</v>
          </cell>
          <cell r="AA103">
            <v>1900</v>
          </cell>
          <cell r="AB103">
            <v>950</v>
          </cell>
          <cell r="AC103">
            <v>1350</v>
          </cell>
          <cell r="AD103">
            <v>675</v>
          </cell>
        </row>
        <row r="104">
          <cell r="A104" t="str">
            <v>1204311B070</v>
          </cell>
          <cell r="B104" t="str">
            <v>Ghost 17</v>
          </cell>
          <cell r="C104" t="str">
            <v>GHOST</v>
          </cell>
          <cell r="D104" t="str">
            <v>GHOST</v>
          </cell>
          <cell r="E104" t="str">
            <v>DYNAMIC CUSHION</v>
          </cell>
          <cell r="F104" t="str">
            <v>womens</v>
          </cell>
          <cell r="G104" t="str">
            <v>120431</v>
          </cell>
          <cell r="H104" t="str">
            <v>1B</v>
          </cell>
          <cell r="I104" t="str">
            <v>070</v>
          </cell>
          <cell r="J104" t="str">
            <v>070 Oyster/Apricot/Pink</v>
          </cell>
          <cell r="K104" t="str">
            <v>New</v>
          </cell>
          <cell r="L104">
            <v>45809</v>
          </cell>
          <cell r="M104">
            <v>46174</v>
          </cell>
        </row>
        <row r="104">
          <cell r="O104" t="str">
            <v>Inline</v>
          </cell>
        </row>
        <row r="104">
          <cell r="Q104" t="str">
            <v>F2025</v>
          </cell>
          <cell r="R104" t="str">
            <v>5-12, 13</v>
          </cell>
          <cell r="S104">
            <v>150</v>
          </cell>
          <cell r="T104">
            <v>75</v>
          </cell>
          <cell r="U104">
            <v>200</v>
          </cell>
          <cell r="V104">
            <v>100</v>
          </cell>
          <cell r="W104">
            <v>135</v>
          </cell>
          <cell r="X104">
            <v>67.5</v>
          </cell>
          <cell r="Y104">
            <v>1800</v>
          </cell>
          <cell r="Z104">
            <v>900</v>
          </cell>
          <cell r="AA104">
            <v>1900</v>
          </cell>
          <cell r="AB104">
            <v>950</v>
          </cell>
          <cell r="AC104">
            <v>1350</v>
          </cell>
          <cell r="AD104">
            <v>675</v>
          </cell>
        </row>
        <row r="105">
          <cell r="A105" t="str">
            <v>1204311B090</v>
          </cell>
          <cell r="B105" t="str">
            <v>Ghost 17</v>
          </cell>
          <cell r="C105" t="str">
            <v>GHOST</v>
          </cell>
          <cell r="D105" t="str">
            <v>GHOST</v>
          </cell>
          <cell r="E105" t="str">
            <v>DYNAMIC CUSHION</v>
          </cell>
          <cell r="F105" t="str">
            <v>womens</v>
          </cell>
          <cell r="G105" t="str">
            <v>120431</v>
          </cell>
          <cell r="H105" t="str">
            <v>1B</v>
          </cell>
          <cell r="I105" t="str">
            <v>090</v>
          </cell>
          <cell r="J105" t="str">
            <v>090 Black/Grey/White</v>
          </cell>
          <cell r="K105" t="str">
            <v>New</v>
          </cell>
          <cell r="L105">
            <v>45809</v>
          </cell>
          <cell r="M105">
            <v>46174</v>
          </cell>
        </row>
        <row r="105">
          <cell r="O105" t="str">
            <v>Inline</v>
          </cell>
        </row>
        <row r="105">
          <cell r="Q105" t="str">
            <v>F2025</v>
          </cell>
          <cell r="R105" t="str">
            <v>5-12, 13</v>
          </cell>
          <cell r="S105">
            <v>150</v>
          </cell>
          <cell r="T105">
            <v>75</v>
          </cell>
          <cell r="U105">
            <v>200</v>
          </cell>
          <cell r="V105">
            <v>100</v>
          </cell>
          <cell r="W105">
            <v>135</v>
          </cell>
          <cell r="X105">
            <v>67.5</v>
          </cell>
          <cell r="Y105">
            <v>1800</v>
          </cell>
          <cell r="Z105">
            <v>900</v>
          </cell>
          <cell r="AA105">
            <v>1900</v>
          </cell>
          <cell r="AB105">
            <v>950</v>
          </cell>
          <cell r="AC105">
            <v>1350</v>
          </cell>
          <cell r="AD105">
            <v>675</v>
          </cell>
        </row>
        <row r="106">
          <cell r="A106" t="str">
            <v>1204311B105</v>
          </cell>
          <cell r="B106" t="str">
            <v>Ghost 17</v>
          </cell>
          <cell r="C106" t="str">
            <v>GHOST</v>
          </cell>
          <cell r="D106" t="str">
            <v>GHOST</v>
          </cell>
          <cell r="E106" t="str">
            <v>DYNAMIC CUSHION</v>
          </cell>
          <cell r="F106" t="str">
            <v>womens</v>
          </cell>
          <cell r="G106" t="str">
            <v>120431</v>
          </cell>
          <cell r="H106" t="str">
            <v>1B</v>
          </cell>
          <cell r="I106" t="str">
            <v>105</v>
          </cell>
          <cell r="J106" t="str">
            <v>105 White/Black/Rose Gold</v>
          </cell>
          <cell r="K106" t="str">
            <v>New</v>
          </cell>
          <cell r="L106">
            <v>45839</v>
          </cell>
          <cell r="M106">
            <v>46174</v>
          </cell>
        </row>
        <row r="106">
          <cell r="O106" t="str">
            <v>Inline Injection</v>
          </cell>
        </row>
        <row r="106">
          <cell r="Q106" t="str">
            <v>F2025</v>
          </cell>
          <cell r="R106" t="str">
            <v>5-12, 13</v>
          </cell>
          <cell r="S106">
            <v>150</v>
          </cell>
          <cell r="T106">
            <v>75</v>
          </cell>
          <cell r="U106">
            <v>200</v>
          </cell>
          <cell r="V106">
            <v>100</v>
          </cell>
          <cell r="W106">
            <v>135</v>
          </cell>
          <cell r="X106">
            <v>67.5</v>
          </cell>
          <cell r="Y106">
            <v>1800</v>
          </cell>
          <cell r="Z106">
            <v>900</v>
          </cell>
          <cell r="AA106">
            <v>1900</v>
          </cell>
          <cell r="AB106">
            <v>950</v>
          </cell>
          <cell r="AC106">
            <v>1350</v>
          </cell>
          <cell r="AD106">
            <v>675</v>
          </cell>
        </row>
        <row r="107">
          <cell r="A107" t="str">
            <v>1204311B443</v>
          </cell>
          <cell r="B107" t="str">
            <v>Ghost 17</v>
          </cell>
          <cell r="C107" t="str">
            <v>GHOST</v>
          </cell>
          <cell r="D107" t="str">
            <v>GHOST</v>
          </cell>
          <cell r="E107" t="str">
            <v>DYNAMIC CUSHION</v>
          </cell>
          <cell r="F107" t="str">
            <v>womens</v>
          </cell>
          <cell r="G107" t="str">
            <v>120431</v>
          </cell>
          <cell r="H107" t="str">
            <v>1B</v>
          </cell>
          <cell r="I107" t="str">
            <v>443</v>
          </cell>
          <cell r="J107" t="str">
            <v>443 Blue Heron/White/Orange</v>
          </cell>
          <cell r="K107" t="str">
            <v>New</v>
          </cell>
          <cell r="L107">
            <v>45809</v>
          </cell>
          <cell r="M107">
            <v>45992</v>
          </cell>
        </row>
        <row r="107">
          <cell r="O107" t="str">
            <v>Inline</v>
          </cell>
        </row>
        <row r="107">
          <cell r="Q107" t="str">
            <v>F2025</v>
          </cell>
          <cell r="R107" t="str">
            <v>5-12, 13</v>
          </cell>
          <cell r="S107">
            <v>150</v>
          </cell>
          <cell r="T107">
            <v>75</v>
          </cell>
          <cell r="U107">
            <v>200</v>
          </cell>
          <cell r="V107">
            <v>100</v>
          </cell>
          <cell r="W107">
            <v>135</v>
          </cell>
          <cell r="X107">
            <v>67.5</v>
          </cell>
          <cell r="Y107">
            <v>1800</v>
          </cell>
          <cell r="Z107">
            <v>900</v>
          </cell>
          <cell r="AA107">
            <v>1900</v>
          </cell>
          <cell r="AB107">
            <v>950</v>
          </cell>
          <cell r="AC107">
            <v>1350</v>
          </cell>
          <cell r="AD107">
            <v>675</v>
          </cell>
        </row>
        <row r="108">
          <cell r="A108" t="str">
            <v>1204312A458</v>
          </cell>
          <cell r="B108" t="str">
            <v>Ghost 17</v>
          </cell>
          <cell r="C108" t="str">
            <v>GHOST</v>
          </cell>
          <cell r="D108" t="str">
            <v>GHOST</v>
          </cell>
          <cell r="E108" t="str">
            <v>DYNAMIC CUSHION</v>
          </cell>
          <cell r="F108" t="str">
            <v>womens</v>
          </cell>
          <cell r="G108" t="str">
            <v>120431</v>
          </cell>
          <cell r="H108" t="str">
            <v>2A</v>
          </cell>
          <cell r="I108" t="str">
            <v>458</v>
          </cell>
          <cell r="J108" t="str">
            <v>458 Navy/Green/Turquoise</v>
          </cell>
          <cell r="K108" t="str">
            <v>New</v>
          </cell>
          <cell r="L108">
            <v>45809</v>
          </cell>
          <cell r="M108">
            <v>46174</v>
          </cell>
        </row>
        <row r="108">
          <cell r="O108" t="str">
            <v>Inline</v>
          </cell>
        </row>
        <row r="108">
          <cell r="Q108" t="str">
            <v>F2025</v>
          </cell>
          <cell r="R108" t="str">
            <v>6-12</v>
          </cell>
          <cell r="S108">
            <v>150</v>
          </cell>
          <cell r="T108">
            <v>75</v>
          </cell>
          <cell r="U108">
            <v>200</v>
          </cell>
          <cell r="V108">
            <v>100</v>
          </cell>
          <cell r="W108">
            <v>135</v>
          </cell>
          <cell r="X108">
            <v>67.5</v>
          </cell>
          <cell r="Y108">
            <v>1800</v>
          </cell>
          <cell r="Z108">
            <v>900</v>
          </cell>
          <cell r="AA108">
            <v>1900</v>
          </cell>
          <cell r="AB108">
            <v>950</v>
          </cell>
          <cell r="AC108">
            <v>1350</v>
          </cell>
          <cell r="AD108">
            <v>675</v>
          </cell>
        </row>
        <row r="109">
          <cell r="A109" t="str">
            <v>1204311B458</v>
          </cell>
          <cell r="B109" t="str">
            <v>Ghost 17</v>
          </cell>
          <cell r="C109" t="str">
            <v>GHOST</v>
          </cell>
          <cell r="D109" t="str">
            <v>GHOST</v>
          </cell>
          <cell r="E109" t="str">
            <v>DYNAMIC CUSHION</v>
          </cell>
          <cell r="F109" t="str">
            <v>womens</v>
          </cell>
          <cell r="G109" t="str">
            <v>120431</v>
          </cell>
          <cell r="H109" t="str">
            <v>1B</v>
          </cell>
          <cell r="I109" t="str">
            <v>458</v>
          </cell>
          <cell r="J109" t="str">
            <v>458 Navy/Green/Turquoise</v>
          </cell>
          <cell r="K109" t="str">
            <v>New</v>
          </cell>
          <cell r="L109">
            <v>45809</v>
          </cell>
          <cell r="M109">
            <v>46174</v>
          </cell>
        </row>
        <row r="109">
          <cell r="O109" t="str">
            <v>Inline</v>
          </cell>
        </row>
        <row r="109">
          <cell r="Q109" t="str">
            <v>F2025</v>
          </cell>
          <cell r="R109" t="str">
            <v>5-12, 13</v>
          </cell>
          <cell r="S109">
            <v>150</v>
          </cell>
          <cell r="T109">
            <v>75</v>
          </cell>
          <cell r="U109">
            <v>200</v>
          </cell>
          <cell r="V109">
            <v>100</v>
          </cell>
          <cell r="W109">
            <v>135</v>
          </cell>
          <cell r="X109">
            <v>67.5</v>
          </cell>
          <cell r="Y109">
            <v>1800</v>
          </cell>
          <cell r="Z109">
            <v>900</v>
          </cell>
          <cell r="AA109">
            <v>1900</v>
          </cell>
          <cell r="AB109">
            <v>950</v>
          </cell>
          <cell r="AC109">
            <v>1350</v>
          </cell>
          <cell r="AD109">
            <v>675</v>
          </cell>
        </row>
        <row r="110">
          <cell r="A110" t="str">
            <v>1204311D458</v>
          </cell>
          <cell r="B110" t="str">
            <v>Ghost 17</v>
          </cell>
          <cell r="C110" t="str">
            <v>GHOST</v>
          </cell>
          <cell r="D110" t="str">
            <v>GHOST</v>
          </cell>
          <cell r="E110" t="str">
            <v>DYNAMIC CUSHION</v>
          </cell>
          <cell r="F110" t="str">
            <v>womens</v>
          </cell>
          <cell r="G110" t="str">
            <v>120431</v>
          </cell>
          <cell r="H110" t="str">
            <v>1D</v>
          </cell>
          <cell r="I110" t="str">
            <v>458</v>
          </cell>
          <cell r="J110" t="str">
            <v>458 Navy/Green/Turquoise</v>
          </cell>
          <cell r="K110" t="str">
            <v>New</v>
          </cell>
          <cell r="L110">
            <v>45809</v>
          </cell>
          <cell r="M110">
            <v>46174</v>
          </cell>
        </row>
        <row r="110">
          <cell r="O110" t="str">
            <v>Inline</v>
          </cell>
        </row>
        <row r="110">
          <cell r="Q110" t="str">
            <v>F2025</v>
          </cell>
          <cell r="R110" t="str">
            <v>5-12, 13</v>
          </cell>
          <cell r="S110">
            <v>150</v>
          </cell>
          <cell r="T110">
            <v>75</v>
          </cell>
          <cell r="U110">
            <v>200</v>
          </cell>
          <cell r="V110">
            <v>100</v>
          </cell>
          <cell r="W110">
            <v>135</v>
          </cell>
          <cell r="X110">
            <v>67.5</v>
          </cell>
          <cell r="Y110">
            <v>1800</v>
          </cell>
          <cell r="Z110">
            <v>900</v>
          </cell>
          <cell r="AA110">
            <v>1900</v>
          </cell>
          <cell r="AB110">
            <v>950</v>
          </cell>
          <cell r="AC110">
            <v>1350</v>
          </cell>
          <cell r="AD110">
            <v>675</v>
          </cell>
        </row>
        <row r="111">
          <cell r="A111" t="str">
            <v>1204311B810</v>
          </cell>
          <cell r="B111" t="str">
            <v>Ghost 17</v>
          </cell>
          <cell r="C111" t="str">
            <v>GHOST</v>
          </cell>
          <cell r="D111" t="str">
            <v>GHOST</v>
          </cell>
          <cell r="E111" t="str">
            <v>DYNAMIC CUSHION</v>
          </cell>
          <cell r="F111" t="str">
            <v>womens</v>
          </cell>
          <cell r="G111" t="str">
            <v>120431</v>
          </cell>
          <cell r="H111" t="str">
            <v>1B</v>
          </cell>
          <cell r="I111" t="str">
            <v>810</v>
          </cell>
          <cell r="J111" t="str">
            <v>810 Apricot/Grey/Pink</v>
          </cell>
          <cell r="K111" t="str">
            <v>New</v>
          </cell>
          <cell r="L111">
            <v>45809</v>
          </cell>
          <cell r="M111">
            <v>45992</v>
          </cell>
        </row>
        <row r="111">
          <cell r="O111" t="str">
            <v>Inline</v>
          </cell>
        </row>
        <row r="111">
          <cell r="Q111" t="str">
            <v>F2025</v>
          </cell>
          <cell r="R111" t="str">
            <v>5-12, 13</v>
          </cell>
          <cell r="S111">
            <v>150</v>
          </cell>
          <cell r="T111">
            <v>75</v>
          </cell>
          <cell r="U111">
            <v>200</v>
          </cell>
          <cell r="V111">
            <v>100</v>
          </cell>
          <cell r="W111">
            <v>135</v>
          </cell>
          <cell r="X111">
            <v>67.5</v>
          </cell>
          <cell r="Y111">
            <v>1800</v>
          </cell>
          <cell r="Z111">
            <v>900</v>
          </cell>
          <cell r="AA111">
            <v>1900</v>
          </cell>
          <cell r="AB111">
            <v>950</v>
          </cell>
          <cell r="AC111">
            <v>1350</v>
          </cell>
          <cell r="AD111">
            <v>675</v>
          </cell>
        </row>
        <row r="112">
          <cell r="A112" t="str">
            <v>1104621D020</v>
          </cell>
          <cell r="B112" t="str">
            <v>Ghost 17 GTX</v>
          </cell>
          <cell r="C112" t="str">
            <v>GHOST GTX</v>
          </cell>
          <cell r="D112" t="str">
            <v>GHOST GTX</v>
          </cell>
          <cell r="E112" t="str">
            <v>DYNAMIC CUSHION</v>
          </cell>
          <cell r="F112" t="str">
            <v>mens</v>
          </cell>
          <cell r="G112" t="str">
            <v>110462</v>
          </cell>
          <cell r="H112" t="str">
            <v>1D</v>
          </cell>
          <cell r="I112" t="str">
            <v>020</v>
          </cell>
          <cell r="J112" t="str">
            <v>020 Black/Black/Ebony</v>
          </cell>
          <cell r="K112" t="str">
            <v>New</v>
          </cell>
          <cell r="L112">
            <v>45870</v>
          </cell>
          <cell r="M112">
            <v>46235</v>
          </cell>
        </row>
        <row r="112">
          <cell r="O112" t="str">
            <v>Inline</v>
          </cell>
        </row>
        <row r="112">
          <cell r="Q112" t="str">
            <v>F2025</v>
          </cell>
          <cell r="R112" t="str">
            <v>8-13, 14, 15</v>
          </cell>
          <cell r="S112">
            <v>170</v>
          </cell>
          <cell r="T112">
            <v>85</v>
          </cell>
          <cell r="U112">
            <v>210</v>
          </cell>
          <cell r="V112">
            <v>105</v>
          </cell>
          <cell r="W112">
            <v>150</v>
          </cell>
          <cell r="X112">
            <v>75</v>
          </cell>
          <cell r="Y112">
            <v>2000</v>
          </cell>
          <cell r="Z112">
            <v>1000</v>
          </cell>
          <cell r="AA112">
            <v>2000</v>
          </cell>
          <cell r="AB112">
            <v>1000</v>
          </cell>
          <cell r="AC112">
            <v>1450</v>
          </cell>
          <cell r="AD112">
            <v>725</v>
          </cell>
        </row>
        <row r="113">
          <cell r="A113" t="str">
            <v>1104621D022</v>
          </cell>
          <cell r="B113" t="str">
            <v>Ghost 17 GTX</v>
          </cell>
          <cell r="C113" t="str">
            <v>GHOST GTX</v>
          </cell>
          <cell r="D113" t="str">
            <v>GHOST GTX</v>
          </cell>
          <cell r="E113" t="str">
            <v>DYNAMIC CUSHION</v>
          </cell>
          <cell r="F113" t="str">
            <v>mens</v>
          </cell>
          <cell r="G113" t="str">
            <v>110462</v>
          </cell>
          <cell r="H113" t="str">
            <v>1D</v>
          </cell>
          <cell r="I113" t="str">
            <v>022</v>
          </cell>
          <cell r="J113" t="str">
            <v>022 Smoke/Primer Grey/Orange</v>
          </cell>
          <cell r="K113" t="str">
            <v>New</v>
          </cell>
          <cell r="L113">
            <v>45870</v>
          </cell>
          <cell r="M113">
            <v>46235</v>
          </cell>
        </row>
        <row r="113">
          <cell r="O113" t="str">
            <v>Inline</v>
          </cell>
        </row>
        <row r="113">
          <cell r="Q113" t="str">
            <v>F2025</v>
          </cell>
          <cell r="R113" t="str">
            <v>8-13, 14, 15</v>
          </cell>
          <cell r="S113">
            <v>170</v>
          </cell>
          <cell r="T113">
            <v>85</v>
          </cell>
          <cell r="U113">
            <v>210</v>
          </cell>
          <cell r="V113">
            <v>105</v>
          </cell>
          <cell r="W113">
            <v>150</v>
          </cell>
          <cell r="X113">
            <v>75</v>
          </cell>
          <cell r="Y113">
            <v>2000</v>
          </cell>
          <cell r="Z113">
            <v>1000</v>
          </cell>
          <cell r="AA113">
            <v>2000</v>
          </cell>
          <cell r="AB113">
            <v>1000</v>
          </cell>
          <cell r="AC113">
            <v>1450</v>
          </cell>
          <cell r="AD113">
            <v>725</v>
          </cell>
        </row>
        <row r="114">
          <cell r="A114" t="str">
            <v>1204511B020</v>
          </cell>
          <cell r="B114" t="str">
            <v>Ghost 17 GTX</v>
          </cell>
          <cell r="C114" t="str">
            <v>GHOST GTX</v>
          </cell>
          <cell r="D114" t="str">
            <v>GHOST GTX</v>
          </cell>
          <cell r="E114" t="str">
            <v>DYNAMIC CUSHION</v>
          </cell>
          <cell r="F114" t="str">
            <v>womens</v>
          </cell>
          <cell r="G114" t="str">
            <v>120451</v>
          </cell>
          <cell r="H114" t="str">
            <v>1B</v>
          </cell>
          <cell r="I114" t="str">
            <v>020</v>
          </cell>
          <cell r="J114" t="str">
            <v>020 Black/Black/Ebony</v>
          </cell>
          <cell r="K114" t="str">
            <v>New</v>
          </cell>
          <cell r="L114">
            <v>45870</v>
          </cell>
          <cell r="M114">
            <v>46235</v>
          </cell>
        </row>
        <row r="114">
          <cell r="O114" t="str">
            <v>Inline</v>
          </cell>
        </row>
        <row r="114">
          <cell r="Q114" t="str">
            <v>F2025</v>
          </cell>
          <cell r="R114" t="str">
            <v>5-12</v>
          </cell>
          <cell r="S114">
            <v>170</v>
          </cell>
          <cell r="T114">
            <v>85</v>
          </cell>
          <cell r="U114">
            <v>210</v>
          </cell>
          <cell r="V114">
            <v>105</v>
          </cell>
          <cell r="W114">
            <v>150</v>
          </cell>
          <cell r="X114">
            <v>75</v>
          </cell>
          <cell r="Y114">
            <v>2000</v>
          </cell>
          <cell r="Z114">
            <v>1000</v>
          </cell>
          <cell r="AA114">
            <v>2000</v>
          </cell>
          <cell r="AB114">
            <v>1000</v>
          </cell>
          <cell r="AC114">
            <v>1450</v>
          </cell>
          <cell r="AD114">
            <v>725</v>
          </cell>
        </row>
        <row r="115">
          <cell r="A115" t="str">
            <v>1204511B138</v>
          </cell>
          <cell r="B115" t="str">
            <v>Ghost 17 GTX</v>
          </cell>
          <cell r="C115" t="str">
            <v>GHOST GTX</v>
          </cell>
          <cell r="D115" t="str">
            <v>GHOST GTX</v>
          </cell>
          <cell r="E115" t="str">
            <v>DYNAMIC CUSHION</v>
          </cell>
          <cell r="F115" t="str">
            <v>womens</v>
          </cell>
          <cell r="G115" t="str">
            <v>120451</v>
          </cell>
          <cell r="H115" t="str">
            <v>1B</v>
          </cell>
          <cell r="I115" t="str">
            <v>138</v>
          </cell>
          <cell r="J115" t="str">
            <v>138 Coconut/Oyster/Blue</v>
          </cell>
          <cell r="K115" t="str">
            <v>New</v>
          </cell>
          <cell r="L115">
            <v>45870</v>
          </cell>
          <cell r="M115">
            <v>46235</v>
          </cell>
        </row>
        <row r="115">
          <cell r="O115" t="str">
            <v>Inline</v>
          </cell>
        </row>
        <row r="115">
          <cell r="Q115" t="str">
            <v>F2025</v>
          </cell>
          <cell r="R115" t="str">
            <v>5-12</v>
          </cell>
          <cell r="S115">
            <v>170</v>
          </cell>
          <cell r="T115">
            <v>85</v>
          </cell>
          <cell r="U115">
            <v>210</v>
          </cell>
          <cell r="V115">
            <v>105</v>
          </cell>
          <cell r="W115">
            <v>150</v>
          </cell>
          <cell r="X115">
            <v>75</v>
          </cell>
          <cell r="Y115">
            <v>2000</v>
          </cell>
          <cell r="Z115">
            <v>1000</v>
          </cell>
          <cell r="AA115">
            <v>2000</v>
          </cell>
          <cell r="AB115">
            <v>1000</v>
          </cell>
          <cell r="AC115">
            <v>1450</v>
          </cell>
          <cell r="AD115">
            <v>725</v>
          </cell>
        </row>
        <row r="116">
          <cell r="A116" t="str">
            <v>1104641D002</v>
          </cell>
          <cell r="B116" t="str">
            <v>Ghost Max 3</v>
          </cell>
          <cell r="C116" t="str">
            <v>GHOST MAX</v>
          </cell>
          <cell r="D116" t="str">
            <v>GHOST MAX</v>
          </cell>
          <cell r="E116" t="str">
            <v>MAX CUSHION</v>
          </cell>
          <cell r="F116" t="str">
            <v>mens</v>
          </cell>
          <cell r="G116" t="str">
            <v>110464</v>
          </cell>
          <cell r="H116" t="str">
            <v>1D</v>
          </cell>
          <cell r="I116" t="str">
            <v>002</v>
          </cell>
          <cell r="J116" t="str">
            <v>002 Primer Grey/Antarctica/Red</v>
          </cell>
          <cell r="K116" t="str">
            <v>New</v>
          </cell>
          <cell r="L116">
            <v>45870</v>
          </cell>
          <cell r="M116">
            <v>45992</v>
          </cell>
        </row>
        <row r="116">
          <cell r="O116" t="str">
            <v>Inline</v>
          </cell>
        </row>
        <row r="116">
          <cell r="Q116" t="str">
            <v>F2025</v>
          </cell>
          <cell r="R116" t="str">
            <v>7-13, 14, 15</v>
          </cell>
          <cell r="S116">
            <v>160</v>
          </cell>
          <cell r="T116">
            <v>80</v>
          </cell>
          <cell r="U116">
            <v>210</v>
          </cell>
          <cell r="V116">
            <v>105</v>
          </cell>
          <cell r="W116">
            <v>145</v>
          </cell>
          <cell r="X116">
            <v>72.5</v>
          </cell>
          <cell r="Y116">
            <v>2000</v>
          </cell>
          <cell r="Z116">
            <v>1000</v>
          </cell>
          <cell r="AA116">
            <v>2000</v>
          </cell>
          <cell r="AB116">
            <v>1000</v>
          </cell>
          <cell r="AC116">
            <v>1450</v>
          </cell>
          <cell r="AD116">
            <v>725</v>
          </cell>
        </row>
        <row r="117">
          <cell r="A117" t="str">
            <v>1104641D020</v>
          </cell>
          <cell r="B117" t="str">
            <v>Ghost Max 3</v>
          </cell>
          <cell r="C117" t="str">
            <v>GHOST MAX</v>
          </cell>
          <cell r="D117" t="str">
            <v>GHOST MAX</v>
          </cell>
          <cell r="E117" t="str">
            <v>MAX CUSHION</v>
          </cell>
          <cell r="F117" t="str">
            <v>mens</v>
          </cell>
          <cell r="G117" t="str">
            <v>110464</v>
          </cell>
          <cell r="H117" t="str">
            <v>1D</v>
          </cell>
          <cell r="I117" t="str">
            <v>020</v>
          </cell>
          <cell r="J117" t="str">
            <v>020 Black/Black/Ebony</v>
          </cell>
          <cell r="K117" t="str">
            <v>New</v>
          </cell>
          <cell r="L117">
            <v>45870</v>
          </cell>
          <cell r="M117">
            <v>46204</v>
          </cell>
        </row>
        <row r="117">
          <cell r="O117" t="str">
            <v>Inline</v>
          </cell>
        </row>
        <row r="117">
          <cell r="Q117" t="str">
            <v>F2025</v>
          </cell>
          <cell r="R117" t="str">
            <v>7-13, 14, 15</v>
          </cell>
          <cell r="S117">
            <v>160</v>
          </cell>
          <cell r="T117">
            <v>80</v>
          </cell>
          <cell r="U117">
            <v>210</v>
          </cell>
          <cell r="V117">
            <v>105</v>
          </cell>
          <cell r="W117">
            <v>145</v>
          </cell>
          <cell r="X117">
            <v>72.5</v>
          </cell>
          <cell r="Y117">
            <v>2000</v>
          </cell>
          <cell r="Z117">
            <v>1000</v>
          </cell>
          <cell r="AA117">
            <v>2000</v>
          </cell>
          <cell r="AB117">
            <v>1000</v>
          </cell>
          <cell r="AC117">
            <v>1450</v>
          </cell>
          <cell r="AD117">
            <v>725</v>
          </cell>
        </row>
        <row r="118">
          <cell r="A118" t="str">
            <v>1104642E020</v>
          </cell>
          <cell r="B118" t="str">
            <v>Ghost Max 3</v>
          </cell>
          <cell r="C118" t="str">
            <v>GHOST MAX</v>
          </cell>
          <cell r="D118" t="str">
            <v>GHOST MAX</v>
          </cell>
          <cell r="E118" t="str">
            <v>MAX CUSHION</v>
          </cell>
          <cell r="F118" t="str">
            <v>mens</v>
          </cell>
          <cell r="G118" t="str">
            <v>110464</v>
          </cell>
          <cell r="H118" t="str">
            <v>2E</v>
          </cell>
          <cell r="I118" t="str">
            <v>020</v>
          </cell>
          <cell r="J118" t="str">
            <v>020 Black/Black/Ebony</v>
          </cell>
          <cell r="K118" t="str">
            <v>New</v>
          </cell>
          <cell r="L118">
            <v>45870</v>
          </cell>
          <cell r="M118">
            <v>46204</v>
          </cell>
        </row>
        <row r="118">
          <cell r="O118" t="str">
            <v>Inline</v>
          </cell>
        </row>
        <row r="118">
          <cell r="Q118" t="str">
            <v>F2025</v>
          </cell>
          <cell r="R118" t="str">
            <v>7-13, 14, 15</v>
          </cell>
          <cell r="S118">
            <v>160</v>
          </cell>
          <cell r="T118">
            <v>80</v>
          </cell>
          <cell r="U118">
            <v>210</v>
          </cell>
          <cell r="V118">
            <v>105</v>
          </cell>
          <cell r="W118">
            <v>145</v>
          </cell>
          <cell r="X118">
            <v>72.5</v>
          </cell>
          <cell r="Y118">
            <v>2000</v>
          </cell>
          <cell r="Z118">
            <v>1000</v>
          </cell>
          <cell r="AA118">
            <v>2000</v>
          </cell>
          <cell r="AB118">
            <v>1000</v>
          </cell>
          <cell r="AC118">
            <v>1450</v>
          </cell>
          <cell r="AD118">
            <v>725</v>
          </cell>
        </row>
        <row r="119">
          <cell r="A119" t="str">
            <v>1104644E020</v>
          </cell>
          <cell r="B119" t="str">
            <v>Ghost Max 3</v>
          </cell>
          <cell r="C119" t="str">
            <v>GHOST MAX</v>
          </cell>
          <cell r="D119" t="str">
            <v>GHOST MAX</v>
          </cell>
          <cell r="E119" t="str">
            <v>MAX CUSHION</v>
          </cell>
          <cell r="F119" t="str">
            <v>mens</v>
          </cell>
          <cell r="G119" t="str">
            <v>110464</v>
          </cell>
          <cell r="H119" t="str">
            <v>4E</v>
          </cell>
          <cell r="I119" t="str">
            <v>020</v>
          </cell>
          <cell r="J119" t="str">
            <v>020 Black/Black/Ebony</v>
          </cell>
          <cell r="K119" t="str">
            <v>New</v>
          </cell>
          <cell r="L119">
            <v>45870</v>
          </cell>
          <cell r="M119">
            <v>46204</v>
          </cell>
        </row>
        <row r="119">
          <cell r="O119" t="str">
            <v>Inline</v>
          </cell>
        </row>
        <row r="119">
          <cell r="Q119" t="str">
            <v>F2025</v>
          </cell>
          <cell r="R119" t="str">
            <v>8-13, 14, 15</v>
          </cell>
          <cell r="S119">
            <v>160</v>
          </cell>
          <cell r="T119">
            <v>80</v>
          </cell>
          <cell r="U119">
            <v>210</v>
          </cell>
          <cell r="V119">
            <v>105</v>
          </cell>
          <cell r="W119">
            <v>145</v>
          </cell>
          <cell r="X119">
            <v>72.5</v>
          </cell>
          <cell r="Y119">
            <v>2000</v>
          </cell>
          <cell r="Z119">
            <v>1000</v>
          </cell>
          <cell r="AA119">
            <v>2000</v>
          </cell>
          <cell r="AB119">
            <v>1000</v>
          </cell>
          <cell r="AC119">
            <v>1450</v>
          </cell>
          <cell r="AD119">
            <v>725</v>
          </cell>
        </row>
        <row r="120">
          <cell r="A120" t="str">
            <v>1104641D348</v>
          </cell>
          <cell r="B120" t="str">
            <v>Ghost Max 3</v>
          </cell>
          <cell r="C120" t="str">
            <v>GHOST MAX</v>
          </cell>
          <cell r="D120" t="str">
            <v>GHOST MAX</v>
          </cell>
          <cell r="E120" t="str">
            <v>MAX CUSHION</v>
          </cell>
          <cell r="F120" t="str">
            <v>mens</v>
          </cell>
          <cell r="G120" t="str">
            <v>110464</v>
          </cell>
          <cell r="H120" t="str">
            <v>1D</v>
          </cell>
          <cell r="I120" t="str">
            <v>348</v>
          </cell>
          <cell r="J120" t="str">
            <v>348 Sunny Lime/Acid Lime/Tea</v>
          </cell>
          <cell r="K120" t="str">
            <v>New</v>
          </cell>
          <cell r="L120">
            <v>45870</v>
          </cell>
          <cell r="M120">
            <v>45992</v>
          </cell>
        </row>
        <row r="120">
          <cell r="O120" t="str">
            <v>Inline</v>
          </cell>
        </row>
        <row r="120">
          <cell r="Q120" t="str">
            <v>F2025</v>
          </cell>
          <cell r="R120" t="str">
            <v>7-13, 14, 15</v>
          </cell>
          <cell r="S120">
            <v>160</v>
          </cell>
          <cell r="T120">
            <v>80</v>
          </cell>
          <cell r="U120">
            <v>210</v>
          </cell>
          <cell r="V120">
            <v>105</v>
          </cell>
          <cell r="W120">
            <v>145</v>
          </cell>
          <cell r="X120">
            <v>72.5</v>
          </cell>
          <cell r="Y120">
            <v>2000</v>
          </cell>
          <cell r="Z120">
            <v>1000</v>
          </cell>
          <cell r="AA120">
            <v>2000</v>
          </cell>
          <cell r="AB120">
            <v>1000</v>
          </cell>
          <cell r="AC120">
            <v>1450</v>
          </cell>
          <cell r="AD120">
            <v>725</v>
          </cell>
        </row>
        <row r="121">
          <cell r="A121" t="str">
            <v>1104641D162</v>
          </cell>
          <cell r="B121" t="str">
            <v>Ghost Max 3</v>
          </cell>
          <cell r="C121" t="str">
            <v>GHOST MAX</v>
          </cell>
          <cell r="D121" t="str">
            <v>GHOST MAX</v>
          </cell>
          <cell r="E121" t="str">
            <v>MAX CUSHION</v>
          </cell>
          <cell r="F121" t="str">
            <v>mens</v>
          </cell>
          <cell r="G121" t="str">
            <v>110464</v>
          </cell>
          <cell r="H121" t="str">
            <v>1D</v>
          </cell>
          <cell r="I121" t="str">
            <v>162</v>
          </cell>
          <cell r="J121" t="str">
            <v>162 Bright White/Tea/Black</v>
          </cell>
          <cell r="K121" t="str">
            <v>New</v>
          </cell>
          <cell r="L121">
            <v>45870</v>
          </cell>
          <cell r="M121">
            <v>46204</v>
          </cell>
        </row>
        <row r="121">
          <cell r="O121" t="str">
            <v>Inline</v>
          </cell>
        </row>
        <row r="121">
          <cell r="Q121" t="str">
            <v>F2025</v>
          </cell>
          <cell r="R121" t="str">
            <v>7-13, 14, 15</v>
          </cell>
          <cell r="S121">
            <v>160</v>
          </cell>
          <cell r="T121">
            <v>80</v>
          </cell>
          <cell r="U121">
            <v>210</v>
          </cell>
          <cell r="V121">
            <v>105</v>
          </cell>
          <cell r="W121">
            <v>145</v>
          </cell>
          <cell r="X121">
            <v>72.5</v>
          </cell>
          <cell r="Y121">
            <v>2000</v>
          </cell>
          <cell r="Z121">
            <v>1000</v>
          </cell>
          <cell r="AA121">
            <v>2000</v>
          </cell>
          <cell r="AB121">
            <v>1000</v>
          </cell>
          <cell r="AC121">
            <v>1450</v>
          </cell>
          <cell r="AD121">
            <v>725</v>
          </cell>
        </row>
        <row r="122">
          <cell r="A122" t="str">
            <v>1104642E162</v>
          </cell>
          <cell r="B122" t="str">
            <v>Ghost Max 3</v>
          </cell>
          <cell r="C122" t="str">
            <v>GHOST MAX</v>
          </cell>
          <cell r="D122" t="str">
            <v>GHOST MAX</v>
          </cell>
          <cell r="E122" t="str">
            <v>MAX CUSHION</v>
          </cell>
          <cell r="F122" t="str">
            <v>mens</v>
          </cell>
          <cell r="G122">
            <v>110464</v>
          </cell>
          <cell r="H122" t="str">
            <v>2E</v>
          </cell>
          <cell r="I122">
            <v>162</v>
          </cell>
          <cell r="J122" t="str">
            <v>162 Bright White/Tea/Black</v>
          </cell>
          <cell r="K122" t="str">
            <v>New</v>
          </cell>
          <cell r="L122">
            <v>45870</v>
          </cell>
          <cell r="M122">
            <v>46204</v>
          </cell>
        </row>
        <row r="122">
          <cell r="O122" t="str">
            <v>Inline</v>
          </cell>
        </row>
        <row r="122">
          <cell r="Q122" t="str">
            <v>F2025</v>
          </cell>
          <cell r="R122" t="str">
            <v>7-13, 14, 15</v>
          </cell>
          <cell r="S122">
            <v>160</v>
          </cell>
          <cell r="T122">
            <v>80</v>
          </cell>
          <cell r="U122">
            <v>210</v>
          </cell>
          <cell r="V122">
            <v>105</v>
          </cell>
          <cell r="W122">
            <v>145</v>
          </cell>
          <cell r="X122">
            <v>72.5</v>
          </cell>
          <cell r="Y122">
            <v>2000</v>
          </cell>
          <cell r="Z122">
            <v>1000</v>
          </cell>
          <cell r="AA122">
            <v>2000</v>
          </cell>
          <cell r="AB122">
            <v>1000</v>
          </cell>
          <cell r="AC122">
            <v>1450</v>
          </cell>
          <cell r="AD122">
            <v>725</v>
          </cell>
        </row>
        <row r="123">
          <cell r="A123" t="str">
            <v>1104641D078</v>
          </cell>
          <cell r="B123" t="str">
            <v>Ghost Max 3</v>
          </cell>
          <cell r="C123" t="str">
            <v>GHOST MAX</v>
          </cell>
          <cell r="D123" t="str">
            <v>GHOST MAX</v>
          </cell>
          <cell r="E123" t="str">
            <v>MAX CUSHION</v>
          </cell>
          <cell r="F123" t="str">
            <v>mens</v>
          </cell>
          <cell r="G123" t="str">
            <v>110464</v>
          </cell>
          <cell r="H123" t="str">
            <v>1D</v>
          </cell>
          <cell r="I123" t="str">
            <v>078</v>
          </cell>
          <cell r="J123" t="str">
            <v>078 Black/Navy/Acid Lime</v>
          </cell>
          <cell r="K123" t="str">
            <v>New</v>
          </cell>
          <cell r="L123">
            <v>45870</v>
          </cell>
          <cell r="M123">
            <v>45992</v>
          </cell>
        </row>
        <row r="123">
          <cell r="O123" t="str">
            <v>Inline</v>
          </cell>
        </row>
        <row r="123">
          <cell r="Q123" t="str">
            <v>F2025</v>
          </cell>
          <cell r="R123" t="str">
            <v>7-13, 14, 15</v>
          </cell>
          <cell r="S123">
            <v>160</v>
          </cell>
          <cell r="T123">
            <v>80</v>
          </cell>
          <cell r="U123">
            <v>210</v>
          </cell>
          <cell r="V123">
            <v>105</v>
          </cell>
          <cell r="W123">
            <v>145</v>
          </cell>
          <cell r="X123">
            <v>72.5</v>
          </cell>
          <cell r="Y123">
            <v>2000</v>
          </cell>
          <cell r="Z123">
            <v>1000</v>
          </cell>
          <cell r="AA123">
            <v>2000</v>
          </cell>
          <cell r="AB123">
            <v>1000</v>
          </cell>
          <cell r="AC123">
            <v>1450</v>
          </cell>
          <cell r="AD123">
            <v>725</v>
          </cell>
        </row>
        <row r="124">
          <cell r="A124" t="str">
            <v>1204571B020</v>
          </cell>
          <cell r="B124" t="str">
            <v>Ghost Max 3</v>
          </cell>
          <cell r="C124" t="str">
            <v>GHOST MAX</v>
          </cell>
          <cell r="D124" t="str">
            <v>GHOST MAX</v>
          </cell>
          <cell r="E124" t="str">
            <v>MAX CUSHION</v>
          </cell>
          <cell r="F124" t="str">
            <v>womens</v>
          </cell>
          <cell r="G124" t="str">
            <v>120457</v>
          </cell>
          <cell r="H124" t="str">
            <v>1B</v>
          </cell>
          <cell r="I124" t="str">
            <v>020</v>
          </cell>
          <cell r="J124" t="str">
            <v>020 Black/Black/Ebony</v>
          </cell>
          <cell r="K124" t="str">
            <v>New</v>
          </cell>
          <cell r="L124">
            <v>45870</v>
          </cell>
          <cell r="M124">
            <v>46204</v>
          </cell>
        </row>
        <row r="124">
          <cell r="O124" t="str">
            <v>Inline</v>
          </cell>
        </row>
        <row r="124">
          <cell r="Q124" t="str">
            <v>F2025</v>
          </cell>
          <cell r="R124" t="str">
            <v>5-12</v>
          </cell>
          <cell r="S124">
            <v>160</v>
          </cell>
          <cell r="T124">
            <v>80</v>
          </cell>
          <cell r="U124">
            <v>210</v>
          </cell>
          <cell r="V124">
            <v>105</v>
          </cell>
          <cell r="W124">
            <v>145</v>
          </cell>
          <cell r="X124">
            <v>72.5</v>
          </cell>
          <cell r="Y124">
            <v>2000</v>
          </cell>
          <cell r="Z124">
            <v>1000</v>
          </cell>
          <cell r="AA124">
            <v>2000</v>
          </cell>
          <cell r="AB124">
            <v>1000</v>
          </cell>
          <cell r="AC124">
            <v>1450</v>
          </cell>
          <cell r="AD124">
            <v>725</v>
          </cell>
        </row>
        <row r="125">
          <cell r="A125" t="str">
            <v>1204571D020</v>
          </cell>
          <cell r="B125" t="str">
            <v>Ghost Max 3</v>
          </cell>
          <cell r="C125" t="str">
            <v>GHOST MAX</v>
          </cell>
          <cell r="D125" t="str">
            <v>GHOST MAX</v>
          </cell>
          <cell r="E125" t="str">
            <v>MAX CUSHION</v>
          </cell>
          <cell r="F125" t="str">
            <v>womens</v>
          </cell>
          <cell r="G125" t="str">
            <v>120457</v>
          </cell>
          <cell r="H125" t="str">
            <v>1D</v>
          </cell>
          <cell r="I125" t="str">
            <v>020</v>
          </cell>
          <cell r="J125" t="str">
            <v>020 Black/Black/Ebony</v>
          </cell>
          <cell r="K125" t="str">
            <v>New</v>
          </cell>
          <cell r="L125">
            <v>45870</v>
          </cell>
          <cell r="M125">
            <v>46204</v>
          </cell>
        </row>
        <row r="125">
          <cell r="O125" t="str">
            <v>Inline</v>
          </cell>
        </row>
        <row r="125">
          <cell r="Q125" t="str">
            <v>F2025</v>
          </cell>
          <cell r="R125" t="str">
            <v>5-12</v>
          </cell>
          <cell r="S125">
            <v>160</v>
          </cell>
          <cell r="T125">
            <v>80</v>
          </cell>
          <cell r="U125">
            <v>210</v>
          </cell>
          <cell r="V125">
            <v>105</v>
          </cell>
          <cell r="W125">
            <v>145</v>
          </cell>
          <cell r="X125">
            <v>72.5</v>
          </cell>
          <cell r="Y125">
            <v>2000</v>
          </cell>
          <cell r="Z125">
            <v>1000</v>
          </cell>
          <cell r="AA125">
            <v>2000</v>
          </cell>
          <cell r="AB125">
            <v>1000</v>
          </cell>
          <cell r="AC125">
            <v>1450</v>
          </cell>
          <cell r="AD125">
            <v>725</v>
          </cell>
        </row>
        <row r="126">
          <cell r="A126" t="str">
            <v>1204572E020</v>
          </cell>
          <cell r="B126" t="str">
            <v>Ghost Max 3</v>
          </cell>
          <cell r="C126" t="str">
            <v>GHOST MAX</v>
          </cell>
          <cell r="D126" t="str">
            <v>GHOST MAX</v>
          </cell>
          <cell r="E126" t="str">
            <v>MAX CUSHION</v>
          </cell>
          <cell r="F126" t="str">
            <v>womens</v>
          </cell>
          <cell r="G126" t="str">
            <v>120457</v>
          </cell>
          <cell r="H126" t="str">
            <v>2E</v>
          </cell>
          <cell r="I126" t="str">
            <v>020</v>
          </cell>
          <cell r="J126" t="str">
            <v>020 Black/Black/Ebony</v>
          </cell>
          <cell r="K126" t="str">
            <v>New</v>
          </cell>
          <cell r="L126">
            <v>45870</v>
          </cell>
          <cell r="M126">
            <v>46204</v>
          </cell>
        </row>
        <row r="126">
          <cell r="O126" t="str">
            <v>Inline</v>
          </cell>
        </row>
        <row r="126">
          <cell r="Q126" t="str">
            <v>F2025</v>
          </cell>
          <cell r="R126" t="str">
            <v>5-12, 13</v>
          </cell>
          <cell r="S126">
            <v>160</v>
          </cell>
          <cell r="T126">
            <v>80</v>
          </cell>
          <cell r="U126">
            <v>210</v>
          </cell>
          <cell r="V126">
            <v>105</v>
          </cell>
          <cell r="W126">
            <v>145</v>
          </cell>
          <cell r="X126">
            <v>72.5</v>
          </cell>
          <cell r="Y126">
            <v>2000</v>
          </cell>
          <cell r="Z126">
            <v>1000</v>
          </cell>
          <cell r="AA126">
            <v>2000</v>
          </cell>
          <cell r="AB126">
            <v>1000</v>
          </cell>
          <cell r="AC126">
            <v>1450</v>
          </cell>
          <cell r="AD126">
            <v>725</v>
          </cell>
        </row>
        <row r="127">
          <cell r="A127" t="str">
            <v>1204571B043</v>
          </cell>
          <cell r="B127" t="str">
            <v>Ghost Max 3</v>
          </cell>
          <cell r="C127" t="str">
            <v>GHOST MAX</v>
          </cell>
          <cell r="D127" t="str">
            <v>GHOST MAX</v>
          </cell>
          <cell r="E127" t="str">
            <v>MAX CUSHION</v>
          </cell>
          <cell r="F127" t="str">
            <v>womens</v>
          </cell>
          <cell r="G127" t="str">
            <v>120457</v>
          </cell>
          <cell r="H127" t="str">
            <v>1B</v>
          </cell>
          <cell r="I127" t="str">
            <v>043</v>
          </cell>
          <cell r="J127" t="str">
            <v>043 Black/Black/Rose Gold</v>
          </cell>
          <cell r="K127" t="str">
            <v>New</v>
          </cell>
          <cell r="L127">
            <v>45870</v>
          </cell>
          <cell r="M127">
            <v>46204</v>
          </cell>
        </row>
        <row r="127">
          <cell r="O127" t="str">
            <v>Inline</v>
          </cell>
        </row>
        <row r="127">
          <cell r="Q127" t="str">
            <v>F2025</v>
          </cell>
          <cell r="R127" t="str">
            <v>5-12</v>
          </cell>
          <cell r="S127">
            <v>160</v>
          </cell>
          <cell r="T127">
            <v>80</v>
          </cell>
          <cell r="U127">
            <v>210</v>
          </cell>
          <cell r="V127">
            <v>105</v>
          </cell>
          <cell r="W127">
            <v>145</v>
          </cell>
          <cell r="X127">
            <v>72.5</v>
          </cell>
          <cell r="Y127">
            <v>2000</v>
          </cell>
          <cell r="Z127">
            <v>1000</v>
          </cell>
          <cell r="AA127">
            <v>2000</v>
          </cell>
          <cell r="AB127">
            <v>1000</v>
          </cell>
          <cell r="AC127">
            <v>1450</v>
          </cell>
          <cell r="AD127">
            <v>725</v>
          </cell>
        </row>
        <row r="128">
          <cell r="A128" t="str">
            <v>1204571D043</v>
          </cell>
          <cell r="B128" t="str">
            <v>Ghost Max 3</v>
          </cell>
          <cell r="C128" t="str">
            <v>GHOST MAX</v>
          </cell>
          <cell r="D128" t="str">
            <v>GHOST MAX</v>
          </cell>
          <cell r="E128" t="str">
            <v>MAX CUSHION</v>
          </cell>
          <cell r="F128" t="str">
            <v>womens</v>
          </cell>
          <cell r="G128" t="str">
            <v>120457</v>
          </cell>
          <cell r="H128" t="str">
            <v>1D</v>
          </cell>
          <cell r="I128" t="str">
            <v>043</v>
          </cell>
          <cell r="J128" t="str">
            <v>043 Black/Black/Rose Gold</v>
          </cell>
          <cell r="K128" t="str">
            <v>New</v>
          </cell>
          <cell r="L128">
            <v>45870</v>
          </cell>
          <cell r="M128">
            <v>46204</v>
          </cell>
        </row>
        <row r="128">
          <cell r="O128" t="str">
            <v>Inline</v>
          </cell>
        </row>
        <row r="128">
          <cell r="Q128" t="str">
            <v>F2025</v>
          </cell>
          <cell r="R128" t="str">
            <v>5-12, 13</v>
          </cell>
          <cell r="S128">
            <v>160</v>
          </cell>
          <cell r="T128">
            <v>80</v>
          </cell>
          <cell r="U128">
            <v>210</v>
          </cell>
          <cell r="V128">
            <v>105</v>
          </cell>
          <cell r="W128">
            <v>145</v>
          </cell>
          <cell r="X128">
            <v>72.5</v>
          </cell>
          <cell r="Y128">
            <v>2000</v>
          </cell>
          <cell r="Z128">
            <v>1000</v>
          </cell>
          <cell r="AA128">
            <v>2000</v>
          </cell>
          <cell r="AB128">
            <v>1000</v>
          </cell>
          <cell r="AC128">
            <v>1450</v>
          </cell>
          <cell r="AD128">
            <v>725</v>
          </cell>
        </row>
        <row r="129">
          <cell r="A129" t="str">
            <v>1204571B151</v>
          </cell>
          <cell r="B129" t="str">
            <v>Ghost Max 3</v>
          </cell>
          <cell r="C129" t="str">
            <v>GHOST MAX</v>
          </cell>
          <cell r="D129" t="str">
            <v>GHOST MAX</v>
          </cell>
          <cell r="E129" t="str">
            <v>MAX CUSHION</v>
          </cell>
          <cell r="F129" t="str">
            <v>womens</v>
          </cell>
          <cell r="G129" t="str">
            <v>120457</v>
          </cell>
          <cell r="H129" t="str">
            <v>1B</v>
          </cell>
          <cell r="I129" t="str">
            <v>151</v>
          </cell>
          <cell r="J129" t="str">
            <v>151 Coconut/Blue Heron/Orange</v>
          </cell>
          <cell r="K129" t="str">
            <v>New</v>
          </cell>
          <cell r="L129">
            <v>45870</v>
          </cell>
          <cell r="M129">
            <v>45992</v>
          </cell>
        </row>
        <row r="129">
          <cell r="O129" t="str">
            <v>Inline</v>
          </cell>
        </row>
        <row r="129">
          <cell r="Q129" t="str">
            <v>F2025</v>
          </cell>
          <cell r="R129" t="str">
            <v>5-12</v>
          </cell>
          <cell r="S129">
            <v>160</v>
          </cell>
          <cell r="T129">
            <v>80</v>
          </cell>
          <cell r="U129">
            <v>210</v>
          </cell>
          <cell r="V129">
            <v>105</v>
          </cell>
          <cell r="W129">
            <v>145</v>
          </cell>
          <cell r="X129">
            <v>72.5</v>
          </cell>
          <cell r="Y129">
            <v>2000</v>
          </cell>
          <cell r="Z129">
            <v>1000</v>
          </cell>
          <cell r="AA129">
            <v>2000</v>
          </cell>
          <cell r="AB129">
            <v>1000</v>
          </cell>
          <cell r="AC129">
            <v>1450</v>
          </cell>
          <cell r="AD129">
            <v>725</v>
          </cell>
        </row>
        <row r="130">
          <cell r="A130" t="str">
            <v>1204571B876</v>
          </cell>
          <cell r="B130" t="str">
            <v>Ghost Max 3</v>
          </cell>
          <cell r="C130" t="str">
            <v>GHOST MAX</v>
          </cell>
          <cell r="D130" t="str">
            <v>GHOST MAX</v>
          </cell>
          <cell r="E130" t="str">
            <v>MAX CUSHION</v>
          </cell>
          <cell r="F130" t="str">
            <v>womens</v>
          </cell>
          <cell r="G130" t="str">
            <v>120457</v>
          </cell>
          <cell r="H130" t="str">
            <v>1B</v>
          </cell>
          <cell r="I130" t="str">
            <v>876</v>
          </cell>
          <cell r="J130" t="str">
            <v>876 Apricot/Apricot/Super Pink</v>
          </cell>
          <cell r="K130" t="str">
            <v>New</v>
          </cell>
          <cell r="L130">
            <v>45870</v>
          </cell>
          <cell r="M130">
            <v>45992</v>
          </cell>
        </row>
        <row r="130">
          <cell r="O130" t="str">
            <v>Inline</v>
          </cell>
        </row>
        <row r="130">
          <cell r="Q130" t="str">
            <v>F2025</v>
          </cell>
          <cell r="R130" t="str">
            <v>5-12</v>
          </cell>
          <cell r="S130">
            <v>160</v>
          </cell>
          <cell r="T130">
            <v>80</v>
          </cell>
          <cell r="U130">
            <v>210</v>
          </cell>
          <cell r="V130">
            <v>105</v>
          </cell>
          <cell r="W130">
            <v>145</v>
          </cell>
          <cell r="X130">
            <v>72.5</v>
          </cell>
          <cell r="Y130">
            <v>2000</v>
          </cell>
          <cell r="Z130">
            <v>1000</v>
          </cell>
          <cell r="AA130">
            <v>2000</v>
          </cell>
          <cell r="AB130">
            <v>1000</v>
          </cell>
          <cell r="AC130">
            <v>1450</v>
          </cell>
          <cell r="AD130">
            <v>725</v>
          </cell>
        </row>
        <row r="131">
          <cell r="A131" t="str">
            <v>1104431D072</v>
          </cell>
          <cell r="B131" t="str">
            <v>Ghost Max L</v>
          </cell>
          <cell r="C131" t="str">
            <v>GHOST MAX L</v>
          </cell>
          <cell r="D131" t="str">
            <v>GHOST MAX L</v>
          </cell>
          <cell r="E131" t="str">
            <v>WALKING</v>
          </cell>
          <cell r="F131" t="str">
            <v>mens</v>
          </cell>
          <cell r="G131" t="str">
            <v>110443</v>
          </cell>
          <cell r="H131" t="str">
            <v>1D</v>
          </cell>
          <cell r="I131" t="str">
            <v>072</v>
          </cell>
          <cell r="J131" t="str">
            <v>072 Black/Black</v>
          </cell>
          <cell r="K131" t="str">
            <v>Carry Over</v>
          </cell>
          <cell r="L131">
            <v>45809</v>
          </cell>
          <cell r="M131">
            <v>46266</v>
          </cell>
        </row>
        <row r="131">
          <cell r="O131" t="str">
            <v>Inline</v>
          </cell>
        </row>
        <row r="131">
          <cell r="Q131" t="str">
            <v>F2025</v>
          </cell>
          <cell r="R131" t="str">
            <v>7-13, 14, 15</v>
          </cell>
          <cell r="S131">
            <v>160</v>
          </cell>
          <cell r="T131">
            <v>80</v>
          </cell>
          <cell r="U131">
            <v>210</v>
          </cell>
          <cell r="V131">
            <v>105</v>
          </cell>
          <cell r="W131">
            <v>145</v>
          </cell>
          <cell r="X131">
            <v>72.5</v>
          </cell>
          <cell r="Y131">
            <v>2000</v>
          </cell>
          <cell r="Z131">
            <v>1000</v>
          </cell>
          <cell r="AA131">
            <v>2000</v>
          </cell>
          <cell r="AB131">
            <v>1000</v>
          </cell>
          <cell r="AC131">
            <v>1450</v>
          </cell>
          <cell r="AD131">
            <v>725</v>
          </cell>
        </row>
        <row r="132">
          <cell r="A132" t="str">
            <v>1104431D142</v>
          </cell>
          <cell r="B132" t="str">
            <v>Ghost Max L</v>
          </cell>
          <cell r="C132" t="str">
            <v>GHOST MAX L</v>
          </cell>
          <cell r="D132" t="str">
            <v>GHOST MAX L</v>
          </cell>
          <cell r="E132" t="str">
            <v>WALKING</v>
          </cell>
          <cell r="F132" t="str">
            <v>mens</v>
          </cell>
          <cell r="G132" t="str">
            <v>110443</v>
          </cell>
          <cell r="H132" t="str">
            <v>1D</v>
          </cell>
          <cell r="I132" t="str">
            <v>142</v>
          </cell>
          <cell r="J132" t="str">
            <v>142 White/White</v>
          </cell>
          <cell r="K132" t="str">
            <v>Carry Over</v>
          </cell>
          <cell r="L132">
            <v>45809</v>
          </cell>
          <cell r="M132">
            <v>46266</v>
          </cell>
        </row>
        <row r="132">
          <cell r="O132" t="str">
            <v>Inline</v>
          </cell>
        </row>
        <row r="132">
          <cell r="Q132" t="str">
            <v>F2025</v>
          </cell>
          <cell r="R132" t="str">
            <v>7-13, 14, 15</v>
          </cell>
          <cell r="S132">
            <v>160</v>
          </cell>
          <cell r="T132">
            <v>80</v>
          </cell>
          <cell r="U132">
            <v>210</v>
          </cell>
          <cell r="V132">
            <v>105</v>
          </cell>
          <cell r="W132">
            <v>145</v>
          </cell>
          <cell r="X132">
            <v>72.5</v>
          </cell>
          <cell r="Y132">
            <v>2000</v>
          </cell>
          <cell r="Z132">
            <v>1000</v>
          </cell>
          <cell r="AA132">
            <v>2000</v>
          </cell>
          <cell r="AB132">
            <v>1000</v>
          </cell>
          <cell r="AC132">
            <v>1450</v>
          </cell>
          <cell r="AD132">
            <v>725</v>
          </cell>
        </row>
        <row r="133">
          <cell r="A133" t="str">
            <v>1204321B072</v>
          </cell>
          <cell r="B133" t="str">
            <v>Ghost Max L</v>
          </cell>
          <cell r="C133" t="str">
            <v>GHOST MAX L</v>
          </cell>
          <cell r="D133" t="str">
            <v>GHOST MAX L</v>
          </cell>
          <cell r="E133" t="str">
            <v>WALKING</v>
          </cell>
          <cell r="F133" t="str">
            <v>womens</v>
          </cell>
          <cell r="G133" t="str">
            <v>120432</v>
          </cell>
          <cell r="H133" t="str">
            <v>1B</v>
          </cell>
          <cell r="I133" t="str">
            <v>072</v>
          </cell>
          <cell r="J133" t="str">
            <v>072 Black/Black</v>
          </cell>
          <cell r="K133" t="str">
            <v>Carry Over</v>
          </cell>
          <cell r="L133">
            <v>45809</v>
          </cell>
          <cell r="M133">
            <v>46266</v>
          </cell>
        </row>
        <row r="133">
          <cell r="O133" t="str">
            <v>Inline</v>
          </cell>
        </row>
        <row r="133">
          <cell r="Q133" t="str">
            <v>F2025</v>
          </cell>
          <cell r="R133" t="str">
            <v>5-12</v>
          </cell>
          <cell r="S133">
            <v>160</v>
          </cell>
          <cell r="T133">
            <v>80</v>
          </cell>
          <cell r="U133">
            <v>210</v>
          </cell>
          <cell r="V133">
            <v>105</v>
          </cell>
          <cell r="W133">
            <v>145</v>
          </cell>
          <cell r="X133">
            <v>72.5</v>
          </cell>
          <cell r="Y133">
            <v>2000</v>
          </cell>
          <cell r="Z133">
            <v>1000</v>
          </cell>
          <cell r="AA133">
            <v>2000</v>
          </cell>
          <cell r="AB133">
            <v>1000</v>
          </cell>
          <cell r="AC133">
            <v>1450</v>
          </cell>
          <cell r="AD133">
            <v>725</v>
          </cell>
        </row>
        <row r="134">
          <cell r="A134" t="str">
            <v>1204321B142</v>
          </cell>
          <cell r="B134" t="str">
            <v>Ghost Max L</v>
          </cell>
          <cell r="C134" t="str">
            <v>GHOST MAX L</v>
          </cell>
          <cell r="D134" t="str">
            <v>GHOST MAX L</v>
          </cell>
          <cell r="E134" t="str">
            <v>WALKING</v>
          </cell>
          <cell r="F134" t="str">
            <v>womens</v>
          </cell>
          <cell r="G134" t="str">
            <v>120432</v>
          </cell>
          <cell r="H134" t="str">
            <v>1B</v>
          </cell>
          <cell r="I134" t="str">
            <v>142</v>
          </cell>
          <cell r="J134" t="str">
            <v>142 White/White</v>
          </cell>
          <cell r="K134" t="str">
            <v>Carry Over</v>
          </cell>
          <cell r="L134">
            <v>45809</v>
          </cell>
          <cell r="M134">
            <v>46266</v>
          </cell>
        </row>
        <row r="134">
          <cell r="O134" t="str">
            <v>Inline</v>
          </cell>
        </row>
        <row r="134">
          <cell r="Q134" t="str">
            <v>F2025</v>
          </cell>
          <cell r="R134" t="str">
            <v>5-12</v>
          </cell>
          <cell r="S134">
            <v>160</v>
          </cell>
          <cell r="T134">
            <v>80</v>
          </cell>
          <cell r="U134">
            <v>210</v>
          </cell>
          <cell r="V134">
            <v>105</v>
          </cell>
          <cell r="W134">
            <v>145</v>
          </cell>
          <cell r="X134">
            <v>72.5</v>
          </cell>
          <cell r="Y134">
            <v>2000</v>
          </cell>
          <cell r="Z134">
            <v>1000</v>
          </cell>
          <cell r="AA134">
            <v>2000</v>
          </cell>
          <cell r="AB134">
            <v>1000</v>
          </cell>
          <cell r="AC134">
            <v>1450</v>
          </cell>
          <cell r="AD134">
            <v>725</v>
          </cell>
        </row>
        <row r="135">
          <cell r="A135" t="str">
            <v>1104441D034</v>
          </cell>
          <cell r="B135" t="str">
            <v>Ghost Max SE</v>
          </cell>
          <cell r="C135" t="str">
            <v>GHOST MAX SE</v>
          </cell>
          <cell r="D135" t="str">
            <v>GHOST MAX SE</v>
          </cell>
          <cell r="E135" t="str">
            <v>WALKING</v>
          </cell>
          <cell r="F135" t="str">
            <v>mens</v>
          </cell>
          <cell r="G135" t="str">
            <v>110444</v>
          </cell>
          <cell r="H135" t="str">
            <v>1D</v>
          </cell>
          <cell r="I135" t="str">
            <v>034</v>
          </cell>
          <cell r="J135" t="str">
            <v>034 Primer Grey/Oyster/Alloy</v>
          </cell>
          <cell r="K135" t="str">
            <v>Carry Over</v>
          </cell>
          <cell r="L135">
            <v>45809</v>
          </cell>
          <cell r="M135">
            <v>46357</v>
          </cell>
        </row>
        <row r="135">
          <cell r="O135" t="str">
            <v>Inline</v>
          </cell>
        </row>
        <row r="135">
          <cell r="Q135" t="str">
            <v>F2025</v>
          </cell>
          <cell r="R135" t="str">
            <v>7-13, 14, 15</v>
          </cell>
          <cell r="S135">
            <v>160</v>
          </cell>
          <cell r="T135">
            <v>80</v>
          </cell>
          <cell r="U135">
            <v>210</v>
          </cell>
          <cell r="V135">
            <v>105</v>
          </cell>
          <cell r="W135">
            <v>145</v>
          </cell>
          <cell r="X135">
            <v>72.5</v>
          </cell>
          <cell r="Y135">
            <v>2000</v>
          </cell>
          <cell r="Z135">
            <v>1000</v>
          </cell>
          <cell r="AA135">
            <v>2000</v>
          </cell>
          <cell r="AB135">
            <v>1000</v>
          </cell>
          <cell r="AC135">
            <v>1450</v>
          </cell>
          <cell r="AD135">
            <v>725</v>
          </cell>
        </row>
        <row r="136">
          <cell r="A136" t="str">
            <v>1104441D335</v>
          </cell>
          <cell r="B136" t="str">
            <v>Ghost Max SE</v>
          </cell>
          <cell r="C136" t="str">
            <v>GHOST MAX SE</v>
          </cell>
          <cell r="D136" t="str">
            <v>GHOST MAX SE</v>
          </cell>
          <cell r="E136" t="str">
            <v>WALKING</v>
          </cell>
          <cell r="F136" t="str">
            <v>mens</v>
          </cell>
          <cell r="G136" t="str">
            <v>110444</v>
          </cell>
          <cell r="H136" t="str">
            <v>1D</v>
          </cell>
          <cell r="I136" t="str">
            <v>335</v>
          </cell>
          <cell r="J136" t="str">
            <v>335 London Fog/Green Haze/Coconut</v>
          </cell>
          <cell r="K136" t="str">
            <v>Carry Over</v>
          </cell>
          <cell r="L136">
            <v>45809</v>
          </cell>
          <cell r="M136">
            <v>46357</v>
          </cell>
        </row>
        <row r="136">
          <cell r="O136" t="str">
            <v>Inline</v>
          </cell>
        </row>
        <row r="136">
          <cell r="Q136" t="str">
            <v>F2025</v>
          </cell>
          <cell r="R136" t="str">
            <v>7-13, 14, 15</v>
          </cell>
          <cell r="S136">
            <v>160</v>
          </cell>
          <cell r="T136">
            <v>80</v>
          </cell>
          <cell r="U136">
            <v>210</v>
          </cell>
          <cell r="V136">
            <v>105</v>
          </cell>
          <cell r="W136">
            <v>145</v>
          </cell>
          <cell r="X136">
            <v>72.5</v>
          </cell>
          <cell r="Y136">
            <v>2000</v>
          </cell>
          <cell r="Z136">
            <v>1000</v>
          </cell>
          <cell r="AA136">
            <v>2000</v>
          </cell>
          <cell r="AB136">
            <v>1000</v>
          </cell>
          <cell r="AC136">
            <v>1450</v>
          </cell>
          <cell r="AD136">
            <v>725</v>
          </cell>
        </row>
        <row r="137">
          <cell r="A137" t="str">
            <v>1204331B056</v>
          </cell>
          <cell r="B137" t="str">
            <v>Ghost Max SE</v>
          </cell>
          <cell r="C137" t="str">
            <v>GHOST MAX SE</v>
          </cell>
          <cell r="D137" t="str">
            <v>GHOST MAX SE</v>
          </cell>
          <cell r="E137" t="str">
            <v>WALKING</v>
          </cell>
          <cell r="F137" t="str">
            <v>womens</v>
          </cell>
          <cell r="G137" t="str">
            <v>120433</v>
          </cell>
          <cell r="H137" t="str">
            <v>1B</v>
          </cell>
          <cell r="I137" t="str">
            <v>056</v>
          </cell>
          <cell r="J137" t="str">
            <v>056 Oyster/Alloy/Antarctica</v>
          </cell>
          <cell r="K137" t="str">
            <v>Carry Over</v>
          </cell>
          <cell r="L137">
            <v>45809</v>
          </cell>
          <cell r="M137">
            <v>46357</v>
          </cell>
        </row>
        <row r="137">
          <cell r="O137" t="str">
            <v>Inline</v>
          </cell>
        </row>
        <row r="137">
          <cell r="Q137" t="str">
            <v>F2025</v>
          </cell>
          <cell r="R137" t="str">
            <v>5-12</v>
          </cell>
          <cell r="S137">
            <v>160</v>
          </cell>
          <cell r="T137">
            <v>80</v>
          </cell>
          <cell r="U137">
            <v>210</v>
          </cell>
          <cell r="V137">
            <v>105</v>
          </cell>
          <cell r="W137">
            <v>145</v>
          </cell>
          <cell r="X137">
            <v>72.5</v>
          </cell>
          <cell r="Y137">
            <v>2000</v>
          </cell>
          <cell r="Z137">
            <v>1000</v>
          </cell>
          <cell r="AA137">
            <v>2000</v>
          </cell>
          <cell r="AB137">
            <v>1000</v>
          </cell>
          <cell r="AC137">
            <v>1450</v>
          </cell>
          <cell r="AD137">
            <v>725</v>
          </cell>
        </row>
        <row r="138">
          <cell r="A138" t="str">
            <v>1204331B295</v>
          </cell>
          <cell r="B138" t="str">
            <v>Ghost Max SE</v>
          </cell>
          <cell r="C138" t="str">
            <v>GHOST MAX SE</v>
          </cell>
          <cell r="D138" t="str">
            <v>GHOST MAX SE</v>
          </cell>
          <cell r="E138" t="str">
            <v>WALKING</v>
          </cell>
          <cell r="F138" t="str">
            <v>womens</v>
          </cell>
          <cell r="G138" t="str">
            <v>120433</v>
          </cell>
          <cell r="H138" t="str">
            <v>1B</v>
          </cell>
          <cell r="I138" t="str">
            <v>295</v>
          </cell>
          <cell r="J138" t="str">
            <v>295 Almond Peach/Chateau/Coconut</v>
          </cell>
          <cell r="K138" t="str">
            <v>Carry Over</v>
          </cell>
          <cell r="L138">
            <v>45809</v>
          </cell>
          <cell r="M138">
            <v>46357</v>
          </cell>
        </row>
        <row r="138">
          <cell r="O138" t="str">
            <v>Inline</v>
          </cell>
        </row>
        <row r="138">
          <cell r="Q138" t="str">
            <v>F2025</v>
          </cell>
          <cell r="R138" t="str">
            <v>5-12</v>
          </cell>
          <cell r="S138">
            <v>160</v>
          </cell>
          <cell r="T138">
            <v>80</v>
          </cell>
          <cell r="U138">
            <v>210</v>
          </cell>
          <cell r="V138">
            <v>105</v>
          </cell>
          <cell r="W138">
            <v>145</v>
          </cell>
          <cell r="X138">
            <v>72.5</v>
          </cell>
          <cell r="Y138">
            <v>2000</v>
          </cell>
          <cell r="Z138">
            <v>1000</v>
          </cell>
          <cell r="AA138">
            <v>2000</v>
          </cell>
          <cell r="AB138">
            <v>1000</v>
          </cell>
          <cell r="AC138">
            <v>1450</v>
          </cell>
          <cell r="AD138">
            <v>725</v>
          </cell>
        </row>
        <row r="139">
          <cell r="A139" t="str">
            <v>1104451D020</v>
          </cell>
          <cell r="B139" t="str">
            <v>Glycerin 22</v>
          </cell>
          <cell r="C139" t="str">
            <v>GLYCERIN</v>
          </cell>
          <cell r="D139" t="str">
            <v>GLYCERIN</v>
          </cell>
          <cell r="E139" t="str">
            <v>DYNAMIC CUSHION</v>
          </cell>
          <cell r="F139" t="str">
            <v>mens</v>
          </cell>
          <cell r="G139" t="str">
            <v>110445</v>
          </cell>
          <cell r="H139" t="str">
            <v>1D</v>
          </cell>
          <cell r="I139" t="str">
            <v>020</v>
          </cell>
          <cell r="J139" t="str">
            <v>020 Black/Black/Ebony</v>
          </cell>
          <cell r="K139" t="str">
            <v>Carry Over</v>
          </cell>
          <cell r="L139">
            <v>45809</v>
          </cell>
          <cell r="M139">
            <v>46023</v>
          </cell>
        </row>
        <row r="139">
          <cell r="O139" t="str">
            <v>Inline</v>
          </cell>
        </row>
        <row r="139">
          <cell r="Q139" t="str">
            <v>F2025</v>
          </cell>
          <cell r="R139" t="str">
            <v>7-13, 14, 15</v>
          </cell>
          <cell r="S139">
            <v>180</v>
          </cell>
          <cell r="T139">
            <v>90</v>
          </cell>
          <cell r="U139">
            <v>230</v>
          </cell>
          <cell r="V139">
            <v>115</v>
          </cell>
          <cell r="W139">
            <v>165</v>
          </cell>
          <cell r="X139">
            <v>82.5</v>
          </cell>
          <cell r="Y139">
            <v>2200</v>
          </cell>
          <cell r="Z139">
            <v>1100</v>
          </cell>
          <cell r="AA139">
            <v>2200</v>
          </cell>
          <cell r="AB139">
            <v>1100</v>
          </cell>
          <cell r="AC139">
            <v>1550</v>
          </cell>
          <cell r="AD139">
            <v>775</v>
          </cell>
        </row>
        <row r="140">
          <cell r="A140" t="str">
            <v>1104452E020</v>
          </cell>
          <cell r="B140" t="str">
            <v>Glycerin 22</v>
          </cell>
          <cell r="C140" t="str">
            <v>GLYCERIN</v>
          </cell>
          <cell r="D140" t="str">
            <v>GLYCERIN</v>
          </cell>
          <cell r="E140" t="str">
            <v>DYNAMIC CUSHION</v>
          </cell>
          <cell r="F140" t="str">
            <v>mens</v>
          </cell>
          <cell r="G140" t="str">
            <v>110445</v>
          </cell>
          <cell r="H140" t="str">
            <v>2E</v>
          </cell>
          <cell r="I140" t="str">
            <v>020</v>
          </cell>
          <cell r="J140" t="str">
            <v>020 Black/Black/Ebony</v>
          </cell>
          <cell r="K140" t="str">
            <v>Carry Over</v>
          </cell>
          <cell r="L140">
            <v>45809</v>
          </cell>
          <cell r="M140">
            <v>46023</v>
          </cell>
        </row>
        <row r="140">
          <cell r="O140" t="str">
            <v>Inline</v>
          </cell>
        </row>
        <row r="140">
          <cell r="Q140" t="str">
            <v>F2025</v>
          </cell>
          <cell r="R140" t="str">
            <v>8-13, 14, 15</v>
          </cell>
          <cell r="S140">
            <v>180</v>
          </cell>
          <cell r="T140">
            <v>90</v>
          </cell>
          <cell r="U140">
            <v>230</v>
          </cell>
          <cell r="V140">
            <v>115</v>
          </cell>
          <cell r="W140">
            <v>165</v>
          </cell>
          <cell r="X140">
            <v>82.5</v>
          </cell>
          <cell r="Y140">
            <v>2200</v>
          </cell>
          <cell r="Z140">
            <v>1100</v>
          </cell>
          <cell r="AA140">
            <v>2200</v>
          </cell>
          <cell r="AB140">
            <v>1100</v>
          </cell>
          <cell r="AC140">
            <v>1550</v>
          </cell>
          <cell r="AD140">
            <v>775</v>
          </cell>
        </row>
        <row r="141">
          <cell r="A141" t="str">
            <v>1104452E002</v>
          </cell>
          <cell r="B141" t="str">
            <v>Glycerin 22</v>
          </cell>
          <cell r="C141" t="str">
            <v>GLYCERIN</v>
          </cell>
          <cell r="D141" t="str">
            <v>GLYCERIN</v>
          </cell>
          <cell r="E141" t="str">
            <v>DYNAMIC CUSHION</v>
          </cell>
          <cell r="F141" t="str">
            <v>mens</v>
          </cell>
          <cell r="G141" t="str">
            <v>110445</v>
          </cell>
          <cell r="H141" t="str">
            <v>2E</v>
          </cell>
          <cell r="I141" t="str">
            <v>002</v>
          </cell>
          <cell r="J141" t="str">
            <v>002 Black/Cobalt/Neo Yellow</v>
          </cell>
          <cell r="K141" t="str">
            <v>Carry Over</v>
          </cell>
          <cell r="L141">
            <v>45809</v>
          </cell>
          <cell r="M141">
            <v>46023</v>
          </cell>
        </row>
        <row r="141">
          <cell r="O141" t="str">
            <v>Inline</v>
          </cell>
        </row>
        <row r="141">
          <cell r="Q141" t="str">
            <v>F2025</v>
          </cell>
          <cell r="R141" t="str">
            <v>8-13, 14, 15</v>
          </cell>
          <cell r="S141">
            <v>180</v>
          </cell>
          <cell r="T141">
            <v>90</v>
          </cell>
          <cell r="U141">
            <v>230</v>
          </cell>
          <cell r="V141">
            <v>115</v>
          </cell>
          <cell r="W141">
            <v>165</v>
          </cell>
          <cell r="X141">
            <v>82.5</v>
          </cell>
          <cell r="Y141">
            <v>2200</v>
          </cell>
          <cell r="Z141">
            <v>1100</v>
          </cell>
          <cell r="AA141">
            <v>2200</v>
          </cell>
          <cell r="AB141">
            <v>1100</v>
          </cell>
          <cell r="AC141">
            <v>1550</v>
          </cell>
          <cell r="AD141">
            <v>775</v>
          </cell>
        </row>
        <row r="142">
          <cell r="A142" t="str">
            <v>1104451D063</v>
          </cell>
          <cell r="B142" t="str">
            <v>Glycerin 22</v>
          </cell>
          <cell r="C142" t="str">
            <v>GLYCERIN</v>
          </cell>
          <cell r="D142" t="str">
            <v>GLYCERIN</v>
          </cell>
          <cell r="E142" t="str">
            <v>DYNAMIC CUSHION</v>
          </cell>
          <cell r="F142" t="str">
            <v>mens</v>
          </cell>
          <cell r="G142" t="str">
            <v>110445</v>
          </cell>
          <cell r="H142" t="str">
            <v>1D</v>
          </cell>
          <cell r="I142" t="str">
            <v>063</v>
          </cell>
          <cell r="J142" t="str">
            <v>063 Black/Atomizer/Blazing Orange</v>
          </cell>
          <cell r="K142" t="str">
            <v>New Color</v>
          </cell>
          <cell r="L142">
            <v>45809</v>
          </cell>
          <cell r="M142">
            <v>46357</v>
          </cell>
        </row>
        <row r="142">
          <cell r="O142" t="str">
            <v>Inline</v>
          </cell>
        </row>
        <row r="142">
          <cell r="Q142" t="str">
            <v>F2025</v>
          </cell>
          <cell r="R142" t="str">
            <v>7-13, 14, 15</v>
          </cell>
          <cell r="S142">
            <v>180</v>
          </cell>
          <cell r="T142">
            <v>90</v>
          </cell>
          <cell r="U142">
            <v>230</v>
          </cell>
          <cell r="V142">
            <v>115</v>
          </cell>
          <cell r="W142">
            <v>165</v>
          </cell>
          <cell r="X142">
            <v>82.5</v>
          </cell>
          <cell r="Y142">
            <v>2200</v>
          </cell>
          <cell r="Z142">
            <v>1100</v>
          </cell>
          <cell r="AA142">
            <v>2200</v>
          </cell>
          <cell r="AB142">
            <v>1100</v>
          </cell>
          <cell r="AC142">
            <v>1550</v>
          </cell>
          <cell r="AD142">
            <v>775</v>
          </cell>
        </row>
        <row r="143">
          <cell r="A143" t="str">
            <v>1104451D090</v>
          </cell>
          <cell r="B143" t="str">
            <v>Glycerin 22</v>
          </cell>
          <cell r="C143" t="str">
            <v>GLYCERIN</v>
          </cell>
          <cell r="D143" t="str">
            <v>GLYCERIN</v>
          </cell>
          <cell r="E143" t="str">
            <v>DYNAMIC CUSHION</v>
          </cell>
          <cell r="F143" t="str">
            <v>mens</v>
          </cell>
          <cell r="G143" t="str">
            <v>110445</v>
          </cell>
          <cell r="H143" t="str">
            <v>1D</v>
          </cell>
          <cell r="I143" t="str">
            <v>090</v>
          </cell>
          <cell r="J143" t="str">
            <v>090 Black/Grey/White</v>
          </cell>
          <cell r="K143" t="str">
            <v>Carry Over</v>
          </cell>
          <cell r="L143">
            <v>45809</v>
          </cell>
          <cell r="M143">
            <v>46023</v>
          </cell>
        </row>
        <row r="143">
          <cell r="O143" t="str">
            <v>Inline</v>
          </cell>
        </row>
        <row r="143">
          <cell r="Q143" t="str">
            <v>F2025</v>
          </cell>
          <cell r="R143" t="str">
            <v>7-13, 14, 15</v>
          </cell>
          <cell r="S143">
            <v>180</v>
          </cell>
          <cell r="T143">
            <v>90</v>
          </cell>
          <cell r="U143">
            <v>230</v>
          </cell>
          <cell r="V143">
            <v>115</v>
          </cell>
          <cell r="W143">
            <v>165</v>
          </cell>
          <cell r="X143">
            <v>82.5</v>
          </cell>
          <cell r="Y143">
            <v>2200</v>
          </cell>
          <cell r="Z143">
            <v>1100</v>
          </cell>
          <cell r="AA143">
            <v>2200</v>
          </cell>
          <cell r="AB143">
            <v>1100</v>
          </cell>
          <cell r="AC143">
            <v>1550</v>
          </cell>
          <cell r="AD143">
            <v>775</v>
          </cell>
        </row>
        <row r="144">
          <cell r="A144" t="str">
            <v>1104451D415</v>
          </cell>
          <cell r="B144" t="str">
            <v>Glycerin 22</v>
          </cell>
          <cell r="C144" t="str">
            <v>GLYCERIN</v>
          </cell>
          <cell r="D144" t="str">
            <v>GLYCERIN</v>
          </cell>
          <cell r="E144" t="str">
            <v>DYNAMIC CUSHION</v>
          </cell>
          <cell r="F144" t="str">
            <v>mens</v>
          </cell>
          <cell r="G144" t="str">
            <v>110445</v>
          </cell>
          <cell r="H144" t="str">
            <v>1D</v>
          </cell>
          <cell r="I144" t="str">
            <v>415</v>
          </cell>
          <cell r="J144" t="str">
            <v>415 Smoke/Stormy/Orange</v>
          </cell>
          <cell r="K144" t="str">
            <v>New Color</v>
          </cell>
          <cell r="L144">
            <v>45809</v>
          </cell>
          <cell r="M144">
            <v>46023</v>
          </cell>
        </row>
        <row r="144">
          <cell r="O144" t="str">
            <v>Inline</v>
          </cell>
        </row>
        <row r="144">
          <cell r="Q144" t="str">
            <v>F2025</v>
          </cell>
          <cell r="R144" t="str">
            <v>7-13, 14, 15</v>
          </cell>
          <cell r="S144">
            <v>180</v>
          </cell>
          <cell r="T144">
            <v>90</v>
          </cell>
          <cell r="U144">
            <v>230</v>
          </cell>
          <cell r="V144">
            <v>115</v>
          </cell>
          <cell r="W144">
            <v>165</v>
          </cell>
          <cell r="X144">
            <v>82.5</v>
          </cell>
          <cell r="Y144">
            <v>2200</v>
          </cell>
          <cell r="Z144">
            <v>1100</v>
          </cell>
          <cell r="AA144">
            <v>2200</v>
          </cell>
          <cell r="AB144">
            <v>1100</v>
          </cell>
          <cell r="AC144">
            <v>1550</v>
          </cell>
          <cell r="AD144">
            <v>775</v>
          </cell>
        </row>
        <row r="145">
          <cell r="A145" t="str">
            <v>1104451D821</v>
          </cell>
          <cell r="B145" t="str">
            <v>Glycerin 22</v>
          </cell>
          <cell r="C145" t="str">
            <v>GLYCERIN</v>
          </cell>
          <cell r="D145" t="str">
            <v>GLYCERIN</v>
          </cell>
          <cell r="E145" t="str">
            <v>DYNAMIC CUSHION</v>
          </cell>
          <cell r="F145" t="str">
            <v>mens</v>
          </cell>
          <cell r="G145" t="str">
            <v>110445</v>
          </cell>
          <cell r="H145" t="str">
            <v>1D</v>
          </cell>
          <cell r="I145" t="str">
            <v>821</v>
          </cell>
          <cell r="J145" t="str">
            <v>821 Orange/Nightlife/White</v>
          </cell>
          <cell r="K145" t="str">
            <v>New Color</v>
          </cell>
          <cell r="L145">
            <v>45809</v>
          </cell>
          <cell r="M145">
            <v>46023</v>
          </cell>
        </row>
        <row r="145">
          <cell r="O145" t="str">
            <v>Inline</v>
          </cell>
        </row>
        <row r="145">
          <cell r="Q145" t="str">
            <v>F2025</v>
          </cell>
          <cell r="R145" t="str">
            <v>7-13, 14, 15</v>
          </cell>
          <cell r="S145">
            <v>180</v>
          </cell>
          <cell r="T145">
            <v>90</v>
          </cell>
          <cell r="U145">
            <v>230</v>
          </cell>
          <cell r="V145">
            <v>115</v>
          </cell>
          <cell r="W145">
            <v>165</v>
          </cell>
          <cell r="X145">
            <v>82.5</v>
          </cell>
          <cell r="Y145">
            <v>2200</v>
          </cell>
          <cell r="Z145">
            <v>1100</v>
          </cell>
          <cell r="AA145">
            <v>2200</v>
          </cell>
          <cell r="AB145">
            <v>1100</v>
          </cell>
          <cell r="AC145">
            <v>1550</v>
          </cell>
          <cell r="AD145">
            <v>775</v>
          </cell>
        </row>
        <row r="146">
          <cell r="A146" t="str">
            <v>1204341B088</v>
          </cell>
          <cell r="B146" t="str">
            <v>Glycerin 22</v>
          </cell>
          <cell r="C146" t="str">
            <v>GLYCERIN</v>
          </cell>
          <cell r="D146" t="str">
            <v>GLYCERIN</v>
          </cell>
          <cell r="E146" t="str">
            <v>DYNAMIC CUSHION</v>
          </cell>
          <cell r="F146" t="str">
            <v>womens</v>
          </cell>
          <cell r="G146" t="str">
            <v>120434</v>
          </cell>
          <cell r="H146" t="str">
            <v>1B</v>
          </cell>
          <cell r="I146" t="str">
            <v>088</v>
          </cell>
          <cell r="J146" t="str">
            <v>088 Black/Blue Heron/Orange</v>
          </cell>
          <cell r="K146" t="str">
            <v>New Color</v>
          </cell>
          <cell r="L146">
            <v>45809</v>
          </cell>
          <cell r="M146">
            <v>46023</v>
          </cell>
        </row>
        <row r="146">
          <cell r="O146" t="str">
            <v>Inline</v>
          </cell>
        </row>
        <row r="146">
          <cell r="Q146" t="str">
            <v>F2025</v>
          </cell>
          <cell r="R146" t="str">
            <v>5-12</v>
          </cell>
          <cell r="S146">
            <v>180</v>
          </cell>
          <cell r="T146">
            <v>90</v>
          </cell>
          <cell r="U146">
            <v>230</v>
          </cell>
          <cell r="V146">
            <v>115</v>
          </cell>
          <cell r="W146">
            <v>165</v>
          </cell>
          <cell r="X146">
            <v>82.5</v>
          </cell>
          <cell r="Y146">
            <v>2200</v>
          </cell>
          <cell r="Z146">
            <v>1100</v>
          </cell>
          <cell r="AA146">
            <v>2200</v>
          </cell>
          <cell r="AB146">
            <v>1100</v>
          </cell>
          <cell r="AC146">
            <v>1550</v>
          </cell>
          <cell r="AD146">
            <v>775</v>
          </cell>
        </row>
        <row r="147">
          <cell r="A147" t="str">
            <v>1204341B090</v>
          </cell>
          <cell r="B147" t="str">
            <v>Glycerin 22</v>
          </cell>
          <cell r="C147" t="str">
            <v>GLYCERIN</v>
          </cell>
          <cell r="D147" t="str">
            <v>GLYCERIN</v>
          </cell>
          <cell r="E147" t="str">
            <v>DYNAMIC CUSHION</v>
          </cell>
          <cell r="F147" t="str">
            <v>womens</v>
          </cell>
          <cell r="G147" t="str">
            <v>120434</v>
          </cell>
          <cell r="H147" t="str">
            <v>1B</v>
          </cell>
          <cell r="I147" t="str">
            <v>090</v>
          </cell>
          <cell r="J147" t="str">
            <v>090 Black/Grey/White</v>
          </cell>
          <cell r="K147" t="str">
            <v>Carry Over</v>
          </cell>
          <cell r="L147">
            <v>45809</v>
          </cell>
          <cell r="M147">
            <v>46023</v>
          </cell>
        </row>
        <row r="147">
          <cell r="O147" t="str">
            <v>Inline</v>
          </cell>
        </row>
        <row r="147">
          <cell r="Q147" t="str">
            <v>F2025</v>
          </cell>
          <cell r="R147" t="str">
            <v>5-12</v>
          </cell>
          <cell r="S147">
            <v>180</v>
          </cell>
          <cell r="T147">
            <v>90</v>
          </cell>
          <cell r="U147">
            <v>230</v>
          </cell>
          <cell r="V147">
            <v>115</v>
          </cell>
          <cell r="W147">
            <v>165</v>
          </cell>
          <cell r="X147">
            <v>82.5</v>
          </cell>
          <cell r="Y147">
            <v>2200</v>
          </cell>
          <cell r="Z147">
            <v>1100</v>
          </cell>
          <cell r="AA147">
            <v>2200</v>
          </cell>
          <cell r="AB147">
            <v>1100</v>
          </cell>
          <cell r="AC147">
            <v>1550</v>
          </cell>
          <cell r="AD147">
            <v>775</v>
          </cell>
        </row>
        <row r="148">
          <cell r="A148" t="str">
            <v>1204341D090</v>
          </cell>
          <cell r="B148" t="str">
            <v>Glycerin 22</v>
          </cell>
          <cell r="C148" t="str">
            <v>GLYCERIN</v>
          </cell>
          <cell r="D148" t="str">
            <v>GLYCERIN</v>
          </cell>
          <cell r="E148" t="str">
            <v>DYNAMIC CUSHION</v>
          </cell>
          <cell r="F148" t="str">
            <v>womens</v>
          </cell>
          <cell r="G148" t="str">
            <v>120434</v>
          </cell>
          <cell r="H148" t="str">
            <v>1D</v>
          </cell>
          <cell r="I148" t="str">
            <v>090</v>
          </cell>
          <cell r="J148" t="str">
            <v>090 Black/Grey/White</v>
          </cell>
          <cell r="K148" t="str">
            <v>Carry Over</v>
          </cell>
          <cell r="L148">
            <v>45809</v>
          </cell>
          <cell r="M148">
            <v>46023</v>
          </cell>
        </row>
        <row r="148">
          <cell r="O148" t="str">
            <v>Inline</v>
          </cell>
        </row>
        <row r="148">
          <cell r="Q148" t="str">
            <v>F2025</v>
          </cell>
          <cell r="R148" t="str">
            <v>6-12</v>
          </cell>
          <cell r="S148">
            <v>180</v>
          </cell>
          <cell r="T148">
            <v>90</v>
          </cell>
          <cell r="U148">
            <v>230</v>
          </cell>
          <cell r="V148">
            <v>115</v>
          </cell>
          <cell r="W148">
            <v>165</v>
          </cell>
          <cell r="X148">
            <v>82.5</v>
          </cell>
          <cell r="Y148">
            <v>2200</v>
          </cell>
          <cell r="Z148">
            <v>1100</v>
          </cell>
          <cell r="AA148">
            <v>2200</v>
          </cell>
          <cell r="AB148">
            <v>1100</v>
          </cell>
          <cell r="AC148">
            <v>1550</v>
          </cell>
          <cell r="AD148">
            <v>775</v>
          </cell>
        </row>
        <row r="149">
          <cell r="A149" t="str">
            <v>1204341D110</v>
          </cell>
          <cell r="B149" t="str">
            <v>Glycerin 22</v>
          </cell>
          <cell r="C149" t="str">
            <v>GLYCERIN</v>
          </cell>
          <cell r="D149" t="str">
            <v>GLYCERIN</v>
          </cell>
          <cell r="E149" t="str">
            <v>DYNAMIC CUSHION</v>
          </cell>
          <cell r="F149" t="str">
            <v>womens</v>
          </cell>
          <cell r="G149" t="str">
            <v>120434</v>
          </cell>
          <cell r="H149" t="str">
            <v>1D</v>
          </cell>
          <cell r="I149" t="str">
            <v>110</v>
          </cell>
          <cell r="J149" t="str">
            <v>110 White/Limpet Shell/Amparo Blue</v>
          </cell>
          <cell r="K149" t="str">
            <v>Carry Over</v>
          </cell>
          <cell r="L149">
            <v>45809</v>
          </cell>
          <cell r="M149">
            <v>46174</v>
          </cell>
        </row>
        <row r="149">
          <cell r="O149" t="str">
            <v>Inline</v>
          </cell>
        </row>
        <row r="149">
          <cell r="Q149" t="str">
            <v>F2025</v>
          </cell>
          <cell r="R149" t="str">
            <v>6-12</v>
          </cell>
          <cell r="S149">
            <v>180</v>
          </cell>
          <cell r="T149">
            <v>90</v>
          </cell>
          <cell r="U149">
            <v>230</v>
          </cell>
          <cell r="V149">
            <v>115</v>
          </cell>
          <cell r="W149">
            <v>165</v>
          </cell>
          <cell r="X149">
            <v>82.5</v>
          </cell>
          <cell r="Y149">
            <v>2200</v>
          </cell>
          <cell r="Z149">
            <v>1100</v>
          </cell>
          <cell r="AA149">
            <v>2200</v>
          </cell>
          <cell r="AB149">
            <v>1100</v>
          </cell>
          <cell r="AC149">
            <v>1550</v>
          </cell>
          <cell r="AD149">
            <v>775</v>
          </cell>
        </row>
        <row r="150">
          <cell r="A150" t="str">
            <v>1204341B137</v>
          </cell>
          <cell r="B150" t="str">
            <v>Glycerin 22</v>
          </cell>
          <cell r="C150" t="str">
            <v>GLYCERIN</v>
          </cell>
          <cell r="D150" t="str">
            <v>GLYCERIN</v>
          </cell>
          <cell r="E150" t="str">
            <v>DYNAMIC CUSHION</v>
          </cell>
          <cell r="F150" t="str">
            <v>womens</v>
          </cell>
          <cell r="G150" t="str">
            <v>120434</v>
          </cell>
          <cell r="H150" t="str">
            <v>1B</v>
          </cell>
          <cell r="I150" t="str">
            <v>137</v>
          </cell>
          <cell r="J150" t="str">
            <v>137 White/Blue Heron/Apricot</v>
          </cell>
          <cell r="K150" t="str">
            <v>New Color</v>
          </cell>
          <cell r="L150">
            <v>45809</v>
          </cell>
          <cell r="M150">
            <v>46023</v>
          </cell>
        </row>
        <row r="150">
          <cell r="O150" t="str">
            <v>Inline</v>
          </cell>
        </row>
        <row r="150">
          <cell r="Q150" t="str">
            <v>F2025</v>
          </cell>
          <cell r="R150" t="str">
            <v>5-12</v>
          </cell>
          <cell r="S150">
            <v>180</v>
          </cell>
          <cell r="T150">
            <v>90</v>
          </cell>
          <cell r="U150">
            <v>230</v>
          </cell>
          <cell r="V150">
            <v>115</v>
          </cell>
          <cell r="W150">
            <v>165</v>
          </cell>
          <cell r="X150">
            <v>82.5</v>
          </cell>
          <cell r="Y150">
            <v>2200</v>
          </cell>
          <cell r="Z150">
            <v>1100</v>
          </cell>
          <cell r="AA150">
            <v>2200</v>
          </cell>
          <cell r="AB150">
            <v>1100</v>
          </cell>
          <cell r="AC150">
            <v>1550</v>
          </cell>
          <cell r="AD150">
            <v>775</v>
          </cell>
        </row>
        <row r="151">
          <cell r="A151" t="str">
            <v>1204341B897</v>
          </cell>
          <cell r="B151" t="str">
            <v>Glycerin 22</v>
          </cell>
          <cell r="C151" t="str">
            <v>GLYCERIN</v>
          </cell>
          <cell r="D151" t="str">
            <v>GLYCERIN</v>
          </cell>
          <cell r="E151" t="str">
            <v>DYNAMIC CUSHION</v>
          </cell>
          <cell r="F151" t="str">
            <v>womens</v>
          </cell>
          <cell r="G151" t="str">
            <v>120434</v>
          </cell>
          <cell r="H151" t="str">
            <v>1B</v>
          </cell>
          <cell r="I151" t="str">
            <v>897</v>
          </cell>
          <cell r="J151" t="str">
            <v>897 Sherbert/Apricot/Pink</v>
          </cell>
          <cell r="K151" t="str">
            <v>New Color</v>
          </cell>
          <cell r="L151">
            <v>45809</v>
          </cell>
          <cell r="M151">
            <v>46023</v>
          </cell>
        </row>
        <row r="151">
          <cell r="O151" t="str">
            <v>Inline</v>
          </cell>
        </row>
        <row r="151">
          <cell r="Q151" t="str">
            <v>F2025</v>
          </cell>
          <cell r="R151" t="str">
            <v>5-12</v>
          </cell>
          <cell r="S151">
            <v>180</v>
          </cell>
          <cell r="T151">
            <v>90</v>
          </cell>
          <cell r="U151">
            <v>230</v>
          </cell>
          <cell r="V151">
            <v>115</v>
          </cell>
          <cell r="W151">
            <v>165</v>
          </cell>
          <cell r="X151">
            <v>82.5</v>
          </cell>
          <cell r="Y151">
            <v>2200</v>
          </cell>
          <cell r="Z151">
            <v>1100</v>
          </cell>
          <cell r="AA151">
            <v>2200</v>
          </cell>
          <cell r="AB151">
            <v>1100</v>
          </cell>
          <cell r="AC151">
            <v>1550</v>
          </cell>
          <cell r="AD151">
            <v>775</v>
          </cell>
        </row>
        <row r="152">
          <cell r="A152" t="str">
            <v>1104461D020</v>
          </cell>
          <cell r="B152" t="str">
            <v>Glycerin GTS 22</v>
          </cell>
          <cell r="C152" t="str">
            <v>GLYCERIN GTS</v>
          </cell>
          <cell r="D152" t="str">
            <v>GLYCERIN GTS</v>
          </cell>
          <cell r="E152" t="str">
            <v>DYNAMIC CUSHION</v>
          </cell>
          <cell r="F152" t="str">
            <v>mens</v>
          </cell>
          <cell r="G152" t="str">
            <v>110446</v>
          </cell>
          <cell r="H152" t="str">
            <v>1D</v>
          </cell>
          <cell r="I152" t="str">
            <v>020</v>
          </cell>
          <cell r="J152" t="str">
            <v>020 Black/Black/Ebony</v>
          </cell>
          <cell r="K152" t="str">
            <v>Carry Over</v>
          </cell>
          <cell r="L152">
            <v>45809</v>
          </cell>
          <cell r="M152">
            <v>46023</v>
          </cell>
        </row>
        <row r="152">
          <cell r="O152" t="str">
            <v>Inline</v>
          </cell>
        </row>
        <row r="152">
          <cell r="Q152" t="str">
            <v>F2025</v>
          </cell>
          <cell r="R152" t="str">
            <v>7-13, 14, 15</v>
          </cell>
          <cell r="S152">
            <v>180</v>
          </cell>
          <cell r="T152">
            <v>90</v>
          </cell>
          <cell r="U152">
            <v>230</v>
          </cell>
          <cell r="V152">
            <v>115</v>
          </cell>
          <cell r="W152">
            <v>165</v>
          </cell>
          <cell r="X152">
            <v>82.5</v>
          </cell>
          <cell r="Y152">
            <v>2200</v>
          </cell>
          <cell r="Z152">
            <v>1100</v>
          </cell>
          <cell r="AA152">
            <v>2200</v>
          </cell>
          <cell r="AB152">
            <v>1100</v>
          </cell>
          <cell r="AC152">
            <v>1550</v>
          </cell>
          <cell r="AD152">
            <v>775</v>
          </cell>
        </row>
        <row r="153">
          <cell r="A153" t="str">
            <v>1104462E020</v>
          </cell>
          <cell r="B153" t="str">
            <v>Glycerin GTS 22</v>
          </cell>
          <cell r="C153" t="str">
            <v>GLYCERIN GTS</v>
          </cell>
          <cell r="D153" t="str">
            <v>GLYCERIN GTS</v>
          </cell>
          <cell r="E153" t="str">
            <v>DYNAMIC CUSHION</v>
          </cell>
          <cell r="F153" t="str">
            <v>mens</v>
          </cell>
          <cell r="G153" t="str">
            <v>110446</v>
          </cell>
          <cell r="H153" t="str">
            <v>2E</v>
          </cell>
          <cell r="I153" t="str">
            <v>020</v>
          </cell>
          <cell r="J153" t="str">
            <v>020 Black/Black/Ebony</v>
          </cell>
          <cell r="K153" t="str">
            <v>Carry Over</v>
          </cell>
          <cell r="L153">
            <v>45809</v>
          </cell>
          <cell r="M153">
            <v>46023</v>
          </cell>
        </row>
        <row r="153">
          <cell r="O153" t="str">
            <v>Inline</v>
          </cell>
        </row>
        <row r="153">
          <cell r="Q153" t="str">
            <v>F2025</v>
          </cell>
          <cell r="R153" t="str">
            <v>8-13, 14, 15</v>
          </cell>
          <cell r="S153">
            <v>180</v>
          </cell>
          <cell r="T153">
            <v>90</v>
          </cell>
          <cell r="U153">
            <v>230</v>
          </cell>
          <cell r="V153">
            <v>115</v>
          </cell>
          <cell r="W153">
            <v>165</v>
          </cell>
          <cell r="X153">
            <v>82.5</v>
          </cell>
          <cell r="Y153">
            <v>2200</v>
          </cell>
          <cell r="Z153">
            <v>1100</v>
          </cell>
          <cell r="AA153">
            <v>2200</v>
          </cell>
          <cell r="AB153">
            <v>1100</v>
          </cell>
          <cell r="AC153">
            <v>1550</v>
          </cell>
          <cell r="AD153">
            <v>775</v>
          </cell>
        </row>
        <row r="154">
          <cell r="A154" t="str">
            <v>1104461D063</v>
          </cell>
          <cell r="B154" t="str">
            <v>Glycerin GTS 22</v>
          </cell>
          <cell r="C154" t="str">
            <v>GLYCERIN GTS</v>
          </cell>
          <cell r="D154" t="str">
            <v>GLYCERIN GTS</v>
          </cell>
          <cell r="E154" t="str">
            <v>DYNAMIC CUSHION</v>
          </cell>
          <cell r="F154" t="str">
            <v>mens</v>
          </cell>
          <cell r="G154" t="str">
            <v>110446</v>
          </cell>
          <cell r="H154" t="str">
            <v>1D</v>
          </cell>
          <cell r="I154" t="str">
            <v>063</v>
          </cell>
          <cell r="J154" t="str">
            <v>063 Black/Atomizer/Blazing Orange</v>
          </cell>
          <cell r="K154" t="str">
            <v>New Color</v>
          </cell>
          <cell r="L154">
            <v>45809</v>
          </cell>
          <cell r="M154">
            <v>46054</v>
          </cell>
        </row>
        <row r="154">
          <cell r="O154" t="str">
            <v>Inline</v>
          </cell>
        </row>
        <row r="154">
          <cell r="Q154" t="str">
            <v>F2025</v>
          </cell>
          <cell r="R154" t="str">
            <v>7-13, 14, 15</v>
          </cell>
          <cell r="S154">
            <v>180</v>
          </cell>
          <cell r="T154">
            <v>90</v>
          </cell>
          <cell r="U154">
            <v>230</v>
          </cell>
          <cell r="V154">
            <v>115</v>
          </cell>
          <cell r="W154">
            <v>165</v>
          </cell>
          <cell r="X154">
            <v>82.5</v>
          </cell>
          <cell r="Y154">
            <v>2200</v>
          </cell>
          <cell r="Z154">
            <v>1100</v>
          </cell>
          <cell r="AA154">
            <v>2200</v>
          </cell>
          <cell r="AB154">
            <v>1100</v>
          </cell>
          <cell r="AC154">
            <v>1550</v>
          </cell>
          <cell r="AD154">
            <v>775</v>
          </cell>
        </row>
        <row r="155">
          <cell r="A155" t="str">
            <v>1104461D821</v>
          </cell>
          <cell r="B155" t="str">
            <v>Glycerin GTS 22</v>
          </cell>
          <cell r="C155" t="str">
            <v>GLYCERIN GTS</v>
          </cell>
          <cell r="D155" t="str">
            <v>GLYCERIN GTS</v>
          </cell>
          <cell r="E155" t="str">
            <v>DYNAMIC CUSHION</v>
          </cell>
          <cell r="F155" t="str">
            <v>mens</v>
          </cell>
          <cell r="G155" t="str">
            <v>110446</v>
          </cell>
          <cell r="H155" t="str">
            <v>1D</v>
          </cell>
          <cell r="I155" t="str">
            <v>821</v>
          </cell>
          <cell r="J155" t="str">
            <v>821 Orange/Nightlife/White</v>
          </cell>
          <cell r="K155" t="str">
            <v>New Color</v>
          </cell>
          <cell r="L155">
            <v>45809</v>
          </cell>
          <cell r="M155">
            <v>46023</v>
          </cell>
        </row>
        <row r="155">
          <cell r="O155" t="str">
            <v>Inline</v>
          </cell>
        </row>
        <row r="155">
          <cell r="Q155" t="str">
            <v>F2025</v>
          </cell>
          <cell r="R155" t="str">
            <v>7-13, 14, 15</v>
          </cell>
          <cell r="S155">
            <v>180</v>
          </cell>
          <cell r="T155">
            <v>90</v>
          </cell>
          <cell r="U155">
            <v>230</v>
          </cell>
          <cell r="V155">
            <v>115</v>
          </cell>
          <cell r="W155">
            <v>165</v>
          </cell>
          <cell r="X155">
            <v>82.5</v>
          </cell>
          <cell r="Y155">
            <v>2200</v>
          </cell>
          <cell r="Z155">
            <v>1100</v>
          </cell>
          <cell r="AA155">
            <v>2200</v>
          </cell>
          <cell r="AB155">
            <v>1100</v>
          </cell>
          <cell r="AC155">
            <v>1550</v>
          </cell>
          <cell r="AD155">
            <v>775</v>
          </cell>
        </row>
        <row r="156">
          <cell r="A156" t="str">
            <v>1204351B088</v>
          </cell>
          <cell r="B156" t="str">
            <v>Glycerin GTS 22</v>
          </cell>
          <cell r="C156" t="str">
            <v>GLYCERIN GTS</v>
          </cell>
          <cell r="D156" t="str">
            <v>GLYCERIN GTS</v>
          </cell>
          <cell r="E156" t="str">
            <v>DYNAMIC CUSHION</v>
          </cell>
          <cell r="F156" t="str">
            <v>womens</v>
          </cell>
          <cell r="G156" t="str">
            <v>120435</v>
          </cell>
          <cell r="H156" t="str">
            <v>1B</v>
          </cell>
          <cell r="I156" t="str">
            <v>088</v>
          </cell>
          <cell r="J156" t="str">
            <v>088 Black/Blue Heron/Orange</v>
          </cell>
          <cell r="K156" t="str">
            <v>New Color</v>
          </cell>
          <cell r="L156">
            <v>45809</v>
          </cell>
          <cell r="M156">
            <v>46023</v>
          </cell>
        </row>
        <row r="156">
          <cell r="O156" t="str">
            <v>Inline</v>
          </cell>
        </row>
        <row r="156">
          <cell r="Q156" t="str">
            <v>F2025</v>
          </cell>
          <cell r="R156" t="str">
            <v>5-12</v>
          </cell>
          <cell r="S156">
            <v>180</v>
          </cell>
          <cell r="T156">
            <v>90</v>
          </cell>
          <cell r="U156">
            <v>230</v>
          </cell>
          <cell r="V156">
            <v>115</v>
          </cell>
          <cell r="W156">
            <v>165</v>
          </cell>
          <cell r="X156">
            <v>82.5</v>
          </cell>
          <cell r="Y156">
            <v>2200</v>
          </cell>
          <cell r="Z156">
            <v>1100</v>
          </cell>
          <cell r="AA156">
            <v>2200</v>
          </cell>
          <cell r="AB156">
            <v>1100</v>
          </cell>
          <cell r="AC156">
            <v>1550</v>
          </cell>
          <cell r="AD156">
            <v>775</v>
          </cell>
        </row>
        <row r="157">
          <cell r="A157" t="str">
            <v>1204351B090</v>
          </cell>
          <cell r="B157" t="str">
            <v>Glycerin GTS 22</v>
          </cell>
          <cell r="C157" t="str">
            <v>GLYCERIN GTS</v>
          </cell>
          <cell r="D157" t="str">
            <v>GLYCERIN GTS</v>
          </cell>
          <cell r="E157" t="str">
            <v>DYNAMIC CUSHION</v>
          </cell>
          <cell r="F157" t="str">
            <v>womens</v>
          </cell>
          <cell r="G157" t="str">
            <v>120435</v>
          </cell>
          <cell r="H157" t="str">
            <v>1B</v>
          </cell>
          <cell r="I157" t="str">
            <v>090</v>
          </cell>
          <cell r="J157" t="str">
            <v>090 Black/Grey/White</v>
          </cell>
          <cell r="K157" t="str">
            <v>Carry Over</v>
          </cell>
          <cell r="L157">
            <v>45809</v>
          </cell>
          <cell r="M157">
            <v>46023</v>
          </cell>
        </row>
        <row r="157">
          <cell r="O157" t="str">
            <v>Inline</v>
          </cell>
        </row>
        <row r="157">
          <cell r="Q157" t="str">
            <v>F2025</v>
          </cell>
          <cell r="R157" t="str">
            <v>5-12</v>
          </cell>
          <cell r="S157">
            <v>180</v>
          </cell>
          <cell r="T157">
            <v>90</v>
          </cell>
          <cell r="U157">
            <v>230</v>
          </cell>
          <cell r="V157">
            <v>115</v>
          </cell>
          <cell r="W157">
            <v>165</v>
          </cell>
          <cell r="X157">
            <v>82.5</v>
          </cell>
          <cell r="Y157">
            <v>2200</v>
          </cell>
          <cell r="Z157">
            <v>1100</v>
          </cell>
          <cell r="AA157">
            <v>2200</v>
          </cell>
          <cell r="AB157">
            <v>1100</v>
          </cell>
          <cell r="AC157">
            <v>1550</v>
          </cell>
          <cell r="AD157">
            <v>775</v>
          </cell>
        </row>
        <row r="158">
          <cell r="A158" t="str">
            <v>1204351D090</v>
          </cell>
          <cell r="B158" t="str">
            <v>Glycerin GTS 22</v>
          </cell>
          <cell r="C158" t="str">
            <v>GLYCERIN GTS</v>
          </cell>
          <cell r="D158" t="str">
            <v>GLYCERIN GTS</v>
          </cell>
          <cell r="E158" t="str">
            <v>DYNAMIC CUSHION</v>
          </cell>
          <cell r="F158" t="str">
            <v>womens</v>
          </cell>
          <cell r="G158" t="str">
            <v>120435</v>
          </cell>
          <cell r="H158" t="str">
            <v>1D</v>
          </cell>
          <cell r="I158" t="str">
            <v>090</v>
          </cell>
          <cell r="J158" t="str">
            <v>090 Black/Grey/White</v>
          </cell>
          <cell r="K158" t="str">
            <v>Carry Over</v>
          </cell>
          <cell r="L158">
            <v>45809</v>
          </cell>
          <cell r="M158">
            <v>46023</v>
          </cell>
        </row>
        <row r="158">
          <cell r="O158" t="str">
            <v>Inline</v>
          </cell>
        </row>
        <row r="158">
          <cell r="Q158" t="str">
            <v>F2025</v>
          </cell>
          <cell r="R158" t="str">
            <v>6-12</v>
          </cell>
          <cell r="S158">
            <v>180</v>
          </cell>
          <cell r="T158">
            <v>90</v>
          </cell>
          <cell r="U158">
            <v>230</v>
          </cell>
          <cell r="V158">
            <v>115</v>
          </cell>
          <cell r="W158">
            <v>165</v>
          </cell>
          <cell r="X158">
            <v>82.5</v>
          </cell>
          <cell r="Y158">
            <v>2200</v>
          </cell>
          <cell r="Z158">
            <v>1100</v>
          </cell>
          <cell r="AA158">
            <v>2200</v>
          </cell>
          <cell r="AB158">
            <v>1100</v>
          </cell>
          <cell r="AC158">
            <v>1550</v>
          </cell>
          <cell r="AD158">
            <v>775</v>
          </cell>
        </row>
        <row r="159">
          <cell r="A159" t="str">
            <v>1204351B137</v>
          </cell>
          <cell r="B159" t="str">
            <v>Glycerin GTS 22</v>
          </cell>
          <cell r="C159" t="str">
            <v>GLYCERIN GTS</v>
          </cell>
          <cell r="D159" t="str">
            <v>GLYCERIN GTS</v>
          </cell>
          <cell r="E159" t="str">
            <v>DYNAMIC CUSHION</v>
          </cell>
          <cell r="F159" t="str">
            <v>womens</v>
          </cell>
          <cell r="G159" t="str">
            <v>120435</v>
          </cell>
          <cell r="H159" t="str">
            <v>1B</v>
          </cell>
          <cell r="I159" t="str">
            <v>137</v>
          </cell>
          <cell r="J159" t="str">
            <v>137 White/Blue Heron/Apricot</v>
          </cell>
          <cell r="K159" t="str">
            <v>New Color</v>
          </cell>
          <cell r="L159">
            <v>45809</v>
          </cell>
          <cell r="M159">
            <v>46023</v>
          </cell>
        </row>
        <row r="159">
          <cell r="O159" t="str">
            <v>Inline</v>
          </cell>
        </row>
        <row r="159">
          <cell r="Q159" t="str">
            <v>F2025</v>
          </cell>
          <cell r="R159" t="str">
            <v>5-12</v>
          </cell>
          <cell r="S159">
            <v>180</v>
          </cell>
          <cell r="T159">
            <v>90</v>
          </cell>
          <cell r="U159">
            <v>230</v>
          </cell>
          <cell r="V159">
            <v>115</v>
          </cell>
          <cell r="W159">
            <v>165</v>
          </cell>
          <cell r="X159">
            <v>82.5</v>
          </cell>
          <cell r="Y159">
            <v>2200</v>
          </cell>
          <cell r="Z159">
            <v>1100</v>
          </cell>
          <cell r="AA159">
            <v>2200</v>
          </cell>
          <cell r="AB159">
            <v>1100</v>
          </cell>
          <cell r="AC159">
            <v>1550</v>
          </cell>
          <cell r="AD159">
            <v>775</v>
          </cell>
        </row>
        <row r="160">
          <cell r="A160" t="str">
            <v>1104471D099</v>
          </cell>
          <cell r="B160" t="str">
            <v>Glycerin Max</v>
          </cell>
          <cell r="C160" t="str">
            <v>GLYCERIN MAX</v>
          </cell>
          <cell r="D160" t="str">
            <v>GLYCERIN MAX</v>
          </cell>
          <cell r="E160" t="str">
            <v>MAX CUSHION</v>
          </cell>
          <cell r="F160" t="str">
            <v>mens</v>
          </cell>
          <cell r="G160" t="str">
            <v>110447</v>
          </cell>
          <cell r="H160" t="str">
            <v>1D</v>
          </cell>
          <cell r="I160" t="str">
            <v>099</v>
          </cell>
          <cell r="J160" t="str">
            <v>099 Grey/Black/Nightlife</v>
          </cell>
          <cell r="K160" t="str">
            <v>Carry Over</v>
          </cell>
          <cell r="L160">
            <v>45809</v>
          </cell>
          <cell r="M160">
            <v>45992</v>
          </cell>
        </row>
        <row r="160">
          <cell r="O160" t="str">
            <v>Inline</v>
          </cell>
        </row>
        <row r="160">
          <cell r="Q160" t="str">
            <v>F2025</v>
          </cell>
          <cell r="R160" t="str">
            <v>7-13, 14, 15</v>
          </cell>
          <cell r="S160">
            <v>200</v>
          </cell>
          <cell r="T160">
            <v>100</v>
          </cell>
          <cell r="U160">
            <v>240</v>
          </cell>
          <cell r="V160">
            <v>120</v>
          </cell>
          <cell r="W160">
            <v>180</v>
          </cell>
          <cell r="X160">
            <v>90</v>
          </cell>
          <cell r="Y160">
            <v>2400</v>
          </cell>
          <cell r="Z160">
            <v>1200</v>
          </cell>
          <cell r="AA160">
            <v>2400</v>
          </cell>
          <cell r="AB160">
            <v>1200</v>
          </cell>
          <cell r="AC160">
            <v>1700</v>
          </cell>
          <cell r="AD160">
            <v>850</v>
          </cell>
        </row>
        <row r="161">
          <cell r="A161" t="str">
            <v>1104471D303</v>
          </cell>
          <cell r="B161" t="str">
            <v>Glycerin Max</v>
          </cell>
          <cell r="C161" t="str">
            <v>GLYCERIN MAX</v>
          </cell>
          <cell r="D161" t="str">
            <v>GLYCERIN MAX</v>
          </cell>
          <cell r="E161" t="str">
            <v>MAX CUSHION</v>
          </cell>
          <cell r="F161" t="str">
            <v>mens</v>
          </cell>
          <cell r="G161" t="str">
            <v>110447</v>
          </cell>
          <cell r="H161" t="str">
            <v>1D</v>
          </cell>
          <cell r="I161" t="str">
            <v>303</v>
          </cell>
          <cell r="J161" t="str">
            <v>303 Lime/Navy Peony/White</v>
          </cell>
          <cell r="K161" t="str">
            <v>New Color</v>
          </cell>
          <cell r="L161">
            <v>45809</v>
          </cell>
          <cell r="M161">
            <v>45992</v>
          </cell>
        </row>
        <row r="161">
          <cell r="O161" t="str">
            <v>Inline</v>
          </cell>
        </row>
        <row r="161">
          <cell r="Q161" t="str">
            <v>F2025</v>
          </cell>
          <cell r="R161" t="str">
            <v>7-13, 14, 15</v>
          </cell>
          <cell r="S161">
            <v>200</v>
          </cell>
          <cell r="T161">
            <v>100</v>
          </cell>
          <cell r="U161">
            <v>240</v>
          </cell>
          <cell r="V161">
            <v>120</v>
          </cell>
          <cell r="W161">
            <v>180</v>
          </cell>
          <cell r="X161">
            <v>90</v>
          </cell>
          <cell r="Y161">
            <v>2400</v>
          </cell>
          <cell r="Z161">
            <v>1200</v>
          </cell>
          <cell r="AA161">
            <v>2400</v>
          </cell>
          <cell r="AB161">
            <v>1200</v>
          </cell>
          <cell r="AC161">
            <v>1700</v>
          </cell>
          <cell r="AD161">
            <v>850</v>
          </cell>
        </row>
        <row r="162">
          <cell r="A162" t="str">
            <v>1104471D886</v>
          </cell>
          <cell r="B162" t="str">
            <v>Glycerin Max</v>
          </cell>
          <cell r="C162" t="str">
            <v>GLYCERIN MAX</v>
          </cell>
          <cell r="D162" t="str">
            <v>GLYCERIN MAX</v>
          </cell>
          <cell r="E162" t="str">
            <v>MAX CUSHION</v>
          </cell>
          <cell r="F162" t="str">
            <v>mens</v>
          </cell>
          <cell r="G162" t="str">
            <v>110447</v>
          </cell>
          <cell r="H162" t="str">
            <v>1D</v>
          </cell>
          <cell r="I162" t="str">
            <v>886</v>
          </cell>
          <cell r="J162" t="str">
            <v>886 Blazing Orange/Blue/White</v>
          </cell>
          <cell r="K162" t="str">
            <v>New Color</v>
          </cell>
          <cell r="L162">
            <v>45809</v>
          </cell>
          <cell r="M162">
            <v>45992</v>
          </cell>
        </row>
        <row r="162">
          <cell r="O162" t="str">
            <v>Inline</v>
          </cell>
        </row>
        <row r="162">
          <cell r="Q162" t="str">
            <v>F2025</v>
          </cell>
          <cell r="R162" t="str">
            <v>7-13, 14, 15</v>
          </cell>
          <cell r="S162">
            <v>200</v>
          </cell>
          <cell r="T162">
            <v>100</v>
          </cell>
          <cell r="U162">
            <v>240</v>
          </cell>
          <cell r="V162">
            <v>120</v>
          </cell>
          <cell r="W162">
            <v>180</v>
          </cell>
          <cell r="X162">
            <v>90</v>
          </cell>
          <cell r="Y162">
            <v>2400</v>
          </cell>
          <cell r="Z162">
            <v>1200</v>
          </cell>
          <cell r="AA162">
            <v>2400</v>
          </cell>
          <cell r="AB162">
            <v>1200</v>
          </cell>
          <cell r="AC162">
            <v>1700</v>
          </cell>
          <cell r="AD162">
            <v>850</v>
          </cell>
        </row>
        <row r="163">
          <cell r="A163" t="str">
            <v>1204361B118</v>
          </cell>
          <cell r="B163" t="str">
            <v>Glycerin Max</v>
          </cell>
          <cell r="C163" t="str">
            <v>GLYCERIN MAX</v>
          </cell>
          <cell r="D163" t="str">
            <v>GLYCERIN MAX</v>
          </cell>
          <cell r="E163" t="str">
            <v>MAX CUSHION</v>
          </cell>
          <cell r="F163" t="str">
            <v>womens</v>
          </cell>
          <cell r="G163" t="str">
            <v>120436</v>
          </cell>
          <cell r="H163" t="str">
            <v>1B</v>
          </cell>
          <cell r="I163" t="str">
            <v>118</v>
          </cell>
          <cell r="J163" t="str">
            <v>118 White/Black/Diva Pink</v>
          </cell>
          <cell r="K163" t="str">
            <v>Carry Over</v>
          </cell>
          <cell r="L163">
            <v>45809</v>
          </cell>
          <cell r="M163">
            <v>45992</v>
          </cell>
        </row>
        <row r="163">
          <cell r="O163" t="str">
            <v>Inline</v>
          </cell>
        </row>
        <row r="163">
          <cell r="Q163" t="str">
            <v>F2025</v>
          </cell>
          <cell r="R163" t="str">
            <v>5-12</v>
          </cell>
          <cell r="S163">
            <v>200</v>
          </cell>
          <cell r="T163">
            <v>100</v>
          </cell>
          <cell r="U163">
            <v>240</v>
          </cell>
          <cell r="V163">
            <v>120</v>
          </cell>
          <cell r="W163">
            <v>180</v>
          </cell>
          <cell r="X163">
            <v>90</v>
          </cell>
          <cell r="Y163">
            <v>2400</v>
          </cell>
          <cell r="Z163">
            <v>1200</v>
          </cell>
          <cell r="AA163">
            <v>2400</v>
          </cell>
          <cell r="AB163">
            <v>1200</v>
          </cell>
          <cell r="AC163">
            <v>1700</v>
          </cell>
          <cell r="AD163">
            <v>850</v>
          </cell>
        </row>
        <row r="164">
          <cell r="A164" t="str">
            <v>1204361B447</v>
          </cell>
          <cell r="B164" t="str">
            <v>Glycerin Max</v>
          </cell>
          <cell r="C164" t="str">
            <v>GLYCERIN MAX</v>
          </cell>
          <cell r="D164" t="str">
            <v>GLYCERIN MAX</v>
          </cell>
          <cell r="E164" t="str">
            <v>MAX CUSHION</v>
          </cell>
          <cell r="F164" t="str">
            <v>womens</v>
          </cell>
          <cell r="G164" t="str">
            <v>120436</v>
          </cell>
          <cell r="H164" t="str">
            <v>1B</v>
          </cell>
          <cell r="I164" t="str">
            <v>447</v>
          </cell>
          <cell r="J164" t="str">
            <v>447 Blue Heron/Diva Pink/White</v>
          </cell>
          <cell r="K164" t="str">
            <v>New Color</v>
          </cell>
          <cell r="L164">
            <v>45809</v>
          </cell>
          <cell r="M164">
            <v>45992</v>
          </cell>
        </row>
        <row r="164">
          <cell r="O164" t="str">
            <v>Inline</v>
          </cell>
        </row>
        <row r="164">
          <cell r="Q164" t="str">
            <v>F2025</v>
          </cell>
          <cell r="R164" t="str">
            <v>5-12</v>
          </cell>
          <cell r="S164">
            <v>200</v>
          </cell>
          <cell r="T164">
            <v>100</v>
          </cell>
          <cell r="U164">
            <v>240</v>
          </cell>
          <cell r="V164">
            <v>120</v>
          </cell>
          <cell r="W164">
            <v>180</v>
          </cell>
          <cell r="X164">
            <v>90</v>
          </cell>
          <cell r="Y164">
            <v>2400</v>
          </cell>
          <cell r="Z164">
            <v>1200</v>
          </cell>
          <cell r="AA164">
            <v>2400</v>
          </cell>
          <cell r="AB164">
            <v>1200</v>
          </cell>
          <cell r="AC164">
            <v>1700</v>
          </cell>
          <cell r="AD164">
            <v>850</v>
          </cell>
        </row>
        <row r="165">
          <cell r="A165" t="str">
            <v>1204361B787</v>
          </cell>
          <cell r="B165" t="str">
            <v>Glycerin Max</v>
          </cell>
          <cell r="C165" t="str">
            <v>GLYCERIN MAX</v>
          </cell>
          <cell r="D165" t="str">
            <v>GLYCERIN MAX</v>
          </cell>
          <cell r="E165" t="str">
            <v>MAX CUSHION</v>
          </cell>
          <cell r="F165" t="str">
            <v>womens</v>
          </cell>
          <cell r="G165" t="str">
            <v>120436</v>
          </cell>
          <cell r="H165" t="str">
            <v>1B</v>
          </cell>
          <cell r="I165" t="str">
            <v>787</v>
          </cell>
          <cell r="J165" t="str">
            <v>787 Sunny Lime/Black/White</v>
          </cell>
          <cell r="K165" t="str">
            <v>New Color</v>
          </cell>
          <cell r="L165">
            <v>45809</v>
          </cell>
          <cell r="M165">
            <v>45992</v>
          </cell>
        </row>
        <row r="165">
          <cell r="O165" t="str">
            <v>Inline</v>
          </cell>
        </row>
        <row r="165">
          <cell r="Q165" t="str">
            <v>F2025</v>
          </cell>
          <cell r="R165" t="str">
            <v>5-12</v>
          </cell>
          <cell r="S165">
            <v>200</v>
          </cell>
          <cell r="T165">
            <v>100</v>
          </cell>
          <cell r="U165">
            <v>240</v>
          </cell>
          <cell r="V165">
            <v>120</v>
          </cell>
          <cell r="W165">
            <v>180</v>
          </cell>
          <cell r="X165">
            <v>90</v>
          </cell>
          <cell r="Y165">
            <v>2400</v>
          </cell>
          <cell r="Z165">
            <v>1200</v>
          </cell>
          <cell r="AA165">
            <v>2400</v>
          </cell>
          <cell r="AB165">
            <v>1200</v>
          </cell>
          <cell r="AC165">
            <v>1700</v>
          </cell>
          <cell r="AD165">
            <v>850</v>
          </cell>
        </row>
        <row r="166">
          <cell r="A166" t="str">
            <v>1104651D090</v>
          </cell>
          <cell r="B166" t="str">
            <v>Hyperion 3</v>
          </cell>
          <cell r="C166" t="str">
            <v>HYPERION</v>
          </cell>
          <cell r="D166" t="str">
            <v>HYPERION</v>
          </cell>
          <cell r="E166" t="str">
            <v>RESPONSIVE CUSHION</v>
          </cell>
          <cell r="F166" t="str">
            <v>mens</v>
          </cell>
          <cell r="G166" t="str">
            <v>110465</v>
          </cell>
          <cell r="H166" t="str">
            <v>1D</v>
          </cell>
          <cell r="I166" t="str">
            <v>090</v>
          </cell>
          <cell r="J166" t="str">
            <v>090 Black/Grey/White</v>
          </cell>
          <cell r="K166" t="str">
            <v>New</v>
          </cell>
          <cell r="L166">
            <v>45839</v>
          </cell>
          <cell r="M166">
            <v>46204</v>
          </cell>
        </row>
        <row r="166">
          <cell r="O166" t="str">
            <v>Inline</v>
          </cell>
        </row>
        <row r="166">
          <cell r="Q166" t="str">
            <v>F2025</v>
          </cell>
          <cell r="R166" t="str">
            <v>7-13, 14, 15</v>
          </cell>
          <cell r="S166">
            <v>150</v>
          </cell>
          <cell r="T166">
            <v>75</v>
          </cell>
          <cell r="U166">
            <v>200</v>
          </cell>
          <cell r="V166">
            <v>100</v>
          </cell>
          <cell r="W166">
            <v>140</v>
          </cell>
          <cell r="X166">
            <v>70</v>
          </cell>
          <cell r="Y166">
            <v>1800</v>
          </cell>
          <cell r="Z166">
            <v>900</v>
          </cell>
          <cell r="AA166">
            <v>1800</v>
          </cell>
          <cell r="AB166">
            <v>900</v>
          </cell>
          <cell r="AC166">
            <v>1350</v>
          </cell>
          <cell r="AD166">
            <v>675</v>
          </cell>
        </row>
        <row r="167">
          <cell r="A167" t="str">
            <v>1104651D369</v>
          </cell>
          <cell r="B167" t="str">
            <v>Hyperion 3</v>
          </cell>
          <cell r="C167" t="str">
            <v>HYPERION</v>
          </cell>
          <cell r="D167" t="str">
            <v>HYPERION</v>
          </cell>
          <cell r="E167" t="str">
            <v>RESPONSIVE CUSHION</v>
          </cell>
          <cell r="F167" t="str">
            <v>mens</v>
          </cell>
          <cell r="G167" t="str">
            <v>110465</v>
          </cell>
          <cell r="H167" t="str">
            <v>1D</v>
          </cell>
          <cell r="I167" t="str">
            <v>369</v>
          </cell>
          <cell r="J167" t="str">
            <v>369 Sunny Lime/Olive/White</v>
          </cell>
          <cell r="K167" t="str">
            <v>New</v>
          </cell>
          <cell r="L167">
            <v>45839</v>
          </cell>
          <cell r="M167">
            <v>45992</v>
          </cell>
        </row>
        <row r="167">
          <cell r="O167" t="str">
            <v>Inline</v>
          </cell>
        </row>
        <row r="167">
          <cell r="Q167" t="str">
            <v>F2025</v>
          </cell>
          <cell r="R167" t="str">
            <v>7-13, 14, 15</v>
          </cell>
          <cell r="S167">
            <v>150</v>
          </cell>
          <cell r="T167">
            <v>75</v>
          </cell>
          <cell r="U167">
            <v>200</v>
          </cell>
          <cell r="V167">
            <v>100</v>
          </cell>
          <cell r="W167">
            <v>140</v>
          </cell>
          <cell r="X167">
            <v>70</v>
          </cell>
          <cell r="Y167">
            <v>1800</v>
          </cell>
          <cell r="Z167">
            <v>900</v>
          </cell>
          <cell r="AA167">
            <v>1800</v>
          </cell>
          <cell r="AB167">
            <v>900</v>
          </cell>
          <cell r="AC167">
            <v>1350</v>
          </cell>
          <cell r="AD167">
            <v>675</v>
          </cell>
        </row>
        <row r="168">
          <cell r="A168" t="str">
            <v>1104651D470</v>
          </cell>
          <cell r="B168" t="str">
            <v>Hyperion 3</v>
          </cell>
          <cell r="C168" t="str">
            <v>HYPERION</v>
          </cell>
          <cell r="D168" t="str">
            <v>HYPERION</v>
          </cell>
          <cell r="E168" t="str">
            <v>RESPONSIVE CUSHION</v>
          </cell>
          <cell r="F168" t="str">
            <v>mens</v>
          </cell>
          <cell r="G168" t="str">
            <v>110465</v>
          </cell>
          <cell r="H168" t="str">
            <v>1D</v>
          </cell>
          <cell r="I168" t="str">
            <v>470</v>
          </cell>
          <cell r="J168" t="str">
            <v>470 Atomizer/Black/Pink Clay</v>
          </cell>
          <cell r="K168" t="str">
            <v>New</v>
          </cell>
          <cell r="L168">
            <v>45839</v>
          </cell>
          <cell r="M168">
            <v>45992</v>
          </cell>
        </row>
        <row r="168">
          <cell r="O168" t="str">
            <v>Inline</v>
          </cell>
        </row>
        <row r="168">
          <cell r="Q168" t="str">
            <v>F2025</v>
          </cell>
          <cell r="R168" t="str">
            <v>7-13, 14, 15</v>
          </cell>
          <cell r="S168">
            <v>150</v>
          </cell>
          <cell r="T168">
            <v>75</v>
          </cell>
          <cell r="U168">
            <v>200</v>
          </cell>
          <cell r="V168">
            <v>100</v>
          </cell>
          <cell r="W168">
            <v>140</v>
          </cell>
          <cell r="X168">
            <v>70</v>
          </cell>
          <cell r="Y168">
            <v>1800</v>
          </cell>
          <cell r="Z168">
            <v>900</v>
          </cell>
          <cell r="AA168">
            <v>1800</v>
          </cell>
          <cell r="AB168">
            <v>900</v>
          </cell>
          <cell r="AC168">
            <v>1350</v>
          </cell>
          <cell r="AD168">
            <v>675</v>
          </cell>
        </row>
        <row r="169">
          <cell r="A169" t="str">
            <v>1204531B090</v>
          </cell>
          <cell r="B169" t="str">
            <v>Hyperion 3</v>
          </cell>
          <cell r="C169" t="str">
            <v>HYPERION</v>
          </cell>
          <cell r="D169" t="str">
            <v>HYPERION</v>
          </cell>
          <cell r="E169" t="str">
            <v>RESPONSIVE CUSHION</v>
          </cell>
          <cell r="F169" t="str">
            <v>womens</v>
          </cell>
          <cell r="G169" t="str">
            <v>120453</v>
          </cell>
          <cell r="H169" t="str">
            <v>1B</v>
          </cell>
          <cell r="I169" t="str">
            <v>090</v>
          </cell>
          <cell r="J169" t="str">
            <v>090 Black/Grey/White</v>
          </cell>
          <cell r="K169" t="str">
            <v>New</v>
          </cell>
          <cell r="L169">
            <v>45839</v>
          </cell>
          <cell r="M169">
            <v>46204</v>
          </cell>
        </row>
        <row r="169">
          <cell r="O169" t="str">
            <v>Inline</v>
          </cell>
        </row>
        <row r="169">
          <cell r="Q169" t="str">
            <v>F2025</v>
          </cell>
          <cell r="R169" t="str">
            <v>5-12</v>
          </cell>
          <cell r="S169">
            <v>150</v>
          </cell>
          <cell r="T169">
            <v>75</v>
          </cell>
          <cell r="U169">
            <v>200</v>
          </cell>
          <cell r="V169">
            <v>100</v>
          </cell>
          <cell r="W169">
            <v>140</v>
          </cell>
          <cell r="X169">
            <v>70</v>
          </cell>
          <cell r="Y169">
            <v>1800</v>
          </cell>
          <cell r="Z169">
            <v>900</v>
          </cell>
          <cell r="AA169">
            <v>1800</v>
          </cell>
          <cell r="AB169">
            <v>900</v>
          </cell>
          <cell r="AC169">
            <v>1350</v>
          </cell>
          <cell r="AD169">
            <v>675</v>
          </cell>
        </row>
        <row r="170">
          <cell r="A170" t="str">
            <v>1204531B193</v>
          </cell>
          <cell r="B170" t="str">
            <v>Hyperion 3</v>
          </cell>
          <cell r="C170" t="str">
            <v>HYPERION</v>
          </cell>
          <cell r="D170" t="str">
            <v>HYPERION</v>
          </cell>
          <cell r="E170" t="str">
            <v>RESPONSIVE CUSHION</v>
          </cell>
          <cell r="F170" t="str">
            <v>womens</v>
          </cell>
          <cell r="G170" t="str">
            <v>120453</v>
          </cell>
          <cell r="H170" t="str">
            <v>1B</v>
          </cell>
          <cell r="I170" t="str">
            <v>193</v>
          </cell>
          <cell r="J170" t="str">
            <v>193 White/Pink Clay/Atomizer</v>
          </cell>
          <cell r="K170" t="str">
            <v>New</v>
          </cell>
          <cell r="L170">
            <v>45839</v>
          </cell>
          <cell r="M170">
            <v>45992</v>
          </cell>
        </row>
        <row r="170">
          <cell r="O170" t="str">
            <v>Inline</v>
          </cell>
        </row>
        <row r="170">
          <cell r="Q170" t="str">
            <v>F2025</v>
          </cell>
          <cell r="R170" t="str">
            <v>5-12</v>
          </cell>
          <cell r="S170">
            <v>150</v>
          </cell>
          <cell r="T170">
            <v>75</v>
          </cell>
          <cell r="U170">
            <v>200</v>
          </cell>
          <cell r="V170">
            <v>100</v>
          </cell>
          <cell r="W170">
            <v>140</v>
          </cell>
          <cell r="X170">
            <v>70</v>
          </cell>
          <cell r="Y170">
            <v>1800</v>
          </cell>
          <cell r="Z170">
            <v>900</v>
          </cell>
          <cell r="AA170">
            <v>1800</v>
          </cell>
          <cell r="AB170">
            <v>900</v>
          </cell>
          <cell r="AC170">
            <v>1350</v>
          </cell>
          <cell r="AD170">
            <v>675</v>
          </cell>
        </row>
        <row r="171">
          <cell r="A171" t="str">
            <v>1204531B426</v>
          </cell>
          <cell r="B171" t="str">
            <v>Hyperion 3</v>
          </cell>
          <cell r="C171" t="str">
            <v>HYPERION</v>
          </cell>
          <cell r="D171" t="str">
            <v>HYPERION</v>
          </cell>
          <cell r="E171" t="str">
            <v>RESPONSIVE CUSHION</v>
          </cell>
          <cell r="F171" t="str">
            <v>womens</v>
          </cell>
          <cell r="G171" t="str">
            <v>120453</v>
          </cell>
          <cell r="H171" t="str">
            <v>1B</v>
          </cell>
          <cell r="I171" t="str">
            <v>426</v>
          </cell>
          <cell r="J171" t="str">
            <v>426 Blue Heron/Orange/White</v>
          </cell>
          <cell r="K171" t="str">
            <v>New</v>
          </cell>
          <cell r="L171">
            <v>45839</v>
          </cell>
          <cell r="M171">
            <v>45992</v>
          </cell>
        </row>
        <row r="171">
          <cell r="O171" t="str">
            <v>Inline</v>
          </cell>
        </row>
        <row r="171">
          <cell r="Q171" t="str">
            <v>F2025</v>
          </cell>
          <cell r="R171" t="str">
            <v>5-12</v>
          </cell>
          <cell r="S171">
            <v>150</v>
          </cell>
          <cell r="T171">
            <v>75</v>
          </cell>
          <cell r="U171">
            <v>200</v>
          </cell>
          <cell r="V171">
            <v>100</v>
          </cell>
          <cell r="W171">
            <v>140</v>
          </cell>
          <cell r="X171">
            <v>70</v>
          </cell>
          <cell r="Y171">
            <v>1800</v>
          </cell>
          <cell r="Z171">
            <v>900</v>
          </cell>
          <cell r="AA171">
            <v>1800</v>
          </cell>
          <cell r="AB171">
            <v>900</v>
          </cell>
          <cell r="AC171">
            <v>1350</v>
          </cell>
          <cell r="AD171">
            <v>675</v>
          </cell>
        </row>
        <row r="172">
          <cell r="A172" t="str">
            <v>1000491D681</v>
          </cell>
          <cell r="B172" t="str">
            <v>Hyperion Elite 5</v>
          </cell>
          <cell r="C172" t="str">
            <v>HYPERION ELITE</v>
          </cell>
          <cell r="D172" t="str">
            <v>HYPERION ELITE</v>
          </cell>
          <cell r="E172" t="str">
            <v>PERFORMANCE CUSHION</v>
          </cell>
          <cell r="F172" t="str">
            <v>Unisex</v>
          </cell>
          <cell r="G172" t="str">
            <v>100049</v>
          </cell>
          <cell r="H172" t="str">
            <v>1D</v>
          </cell>
          <cell r="I172" t="str">
            <v>681</v>
          </cell>
          <cell r="J172" t="str">
            <v>681 Pink Clay/Atomizer Blue</v>
          </cell>
          <cell r="K172" t="str">
            <v>New</v>
          </cell>
          <cell r="L172">
            <v>45839</v>
          </cell>
          <cell r="M172">
            <v>46235</v>
          </cell>
        </row>
        <row r="172">
          <cell r="O172" t="str">
            <v>Inline</v>
          </cell>
        </row>
        <row r="172">
          <cell r="Q172" t="str">
            <v>F2025</v>
          </cell>
          <cell r="R172" t="str">
            <v>5-12, 13</v>
          </cell>
          <cell r="S172">
            <v>275</v>
          </cell>
          <cell r="T172">
            <v>137.5</v>
          </cell>
          <cell r="U172">
            <v>320</v>
          </cell>
          <cell r="V172">
            <v>160</v>
          </cell>
          <cell r="W172">
            <v>240</v>
          </cell>
          <cell r="X172">
            <v>120</v>
          </cell>
          <cell r="Y172">
            <v>3300</v>
          </cell>
          <cell r="Z172">
            <v>1650</v>
          </cell>
          <cell r="AA172">
            <v>3300</v>
          </cell>
          <cell r="AB172">
            <v>1650</v>
          </cell>
          <cell r="AC172">
            <v>2300</v>
          </cell>
          <cell r="AD172">
            <v>1150</v>
          </cell>
        </row>
        <row r="173">
          <cell r="A173" t="str">
            <v>1000471D408</v>
          </cell>
          <cell r="B173" t="str">
            <v>Hyperion Elite LD</v>
          </cell>
          <cell r="C173" t="str">
            <v>HYPERION ELITE LD</v>
          </cell>
          <cell r="D173" t="str">
            <v>HYPERION ELITE LD</v>
          </cell>
          <cell r="E173" t="str">
            <v>PERFORMANCE CUSHION</v>
          </cell>
          <cell r="F173" t="str">
            <v>Unisex</v>
          </cell>
          <cell r="G173" t="str">
            <v>100047</v>
          </cell>
          <cell r="H173" t="str">
            <v>1D</v>
          </cell>
          <cell r="I173" t="str">
            <v>408</v>
          </cell>
          <cell r="J173" t="str">
            <v>408 Cobalt/Pink Clay/Orange</v>
          </cell>
          <cell r="K173" t="str">
            <v>Carry Over</v>
          </cell>
          <cell r="L173">
            <v>45809</v>
          </cell>
          <cell r="M173">
            <v>45992</v>
          </cell>
        </row>
        <row r="173">
          <cell r="O173" t="str">
            <v>Inline</v>
          </cell>
        </row>
        <row r="173">
          <cell r="Q173" t="str">
            <v>F2025</v>
          </cell>
          <cell r="R173" t="str">
            <v>4-13</v>
          </cell>
          <cell r="S173">
            <v>150</v>
          </cell>
          <cell r="T173">
            <v>75</v>
          </cell>
          <cell r="U173">
            <v>190</v>
          </cell>
          <cell r="V173">
            <v>95</v>
          </cell>
          <cell r="W173">
            <v>140</v>
          </cell>
          <cell r="X173">
            <v>70</v>
          </cell>
          <cell r="Y173">
            <v>1800</v>
          </cell>
          <cell r="Z173">
            <v>900</v>
          </cell>
          <cell r="AA173">
            <v>1800</v>
          </cell>
          <cell r="AB173">
            <v>900</v>
          </cell>
          <cell r="AC173">
            <v>1350</v>
          </cell>
          <cell r="AD173">
            <v>675</v>
          </cell>
        </row>
        <row r="174">
          <cell r="A174" t="str">
            <v>1000481D419</v>
          </cell>
          <cell r="B174" t="str">
            <v>Hyperion Elite MD</v>
          </cell>
          <cell r="C174" t="str">
            <v>HYPERION ELITE MD</v>
          </cell>
          <cell r="D174" t="str">
            <v>HYPERION ELITE MD</v>
          </cell>
          <cell r="E174" t="str">
            <v>PERFORMANCE CUSHION</v>
          </cell>
          <cell r="F174" t="str">
            <v>Unisex</v>
          </cell>
          <cell r="G174" t="str">
            <v>100048</v>
          </cell>
          <cell r="H174" t="str">
            <v>1D</v>
          </cell>
          <cell r="I174" t="str">
            <v>419</v>
          </cell>
          <cell r="J174" t="str">
            <v>419 Cobalt/Pink Clay/Limpet Shell</v>
          </cell>
          <cell r="K174" t="str">
            <v>Carry Over</v>
          </cell>
          <cell r="L174">
            <v>45809</v>
          </cell>
          <cell r="M174">
            <v>45992</v>
          </cell>
        </row>
        <row r="174">
          <cell r="O174" t="str">
            <v>Inline</v>
          </cell>
        </row>
        <row r="174">
          <cell r="Q174" t="str">
            <v>F2025</v>
          </cell>
          <cell r="R174" t="str">
            <v>4-13</v>
          </cell>
          <cell r="S174">
            <v>180</v>
          </cell>
          <cell r="T174">
            <v>90</v>
          </cell>
          <cell r="U174">
            <v>210</v>
          </cell>
          <cell r="V174">
            <v>105</v>
          </cell>
          <cell r="W174">
            <v>165</v>
          </cell>
          <cell r="X174">
            <v>82.5</v>
          </cell>
          <cell r="Y174">
            <v>2100</v>
          </cell>
          <cell r="Z174">
            <v>1050</v>
          </cell>
          <cell r="AA174">
            <v>2100</v>
          </cell>
          <cell r="AB174">
            <v>1050</v>
          </cell>
          <cell r="AC174">
            <v>1450</v>
          </cell>
          <cell r="AD174">
            <v>725</v>
          </cell>
        </row>
        <row r="175">
          <cell r="A175" t="str">
            <v>1104671D182</v>
          </cell>
          <cell r="B175" t="str">
            <v>Hyperion Max 3</v>
          </cell>
          <cell r="C175" t="str">
            <v>HYPERION MAX</v>
          </cell>
          <cell r="D175" t="str">
            <v>HYPERION MAX</v>
          </cell>
          <cell r="E175" t="str">
            <v>RESPONSIVE CUSHION</v>
          </cell>
          <cell r="F175" t="str">
            <v>mens</v>
          </cell>
          <cell r="G175" t="str">
            <v>110467</v>
          </cell>
          <cell r="H175" t="str">
            <v>1D</v>
          </cell>
          <cell r="I175" t="str">
            <v>182</v>
          </cell>
          <cell r="J175" t="str">
            <v>182 Coconut/Green Gecko/Pink Clay</v>
          </cell>
          <cell r="K175" t="str">
            <v>New</v>
          </cell>
          <cell r="L175">
            <v>45839</v>
          </cell>
          <cell r="M175">
            <v>46204</v>
          </cell>
        </row>
        <row r="175">
          <cell r="O175" t="str">
            <v>Inline</v>
          </cell>
        </row>
        <row r="175">
          <cell r="Q175" t="str">
            <v>F2025</v>
          </cell>
          <cell r="R175" t="str">
            <v>7-13, 14, 15</v>
          </cell>
          <cell r="S175">
            <v>190</v>
          </cell>
          <cell r="T175">
            <v>95</v>
          </cell>
          <cell r="U175">
            <v>220</v>
          </cell>
          <cell r="V175">
            <v>110</v>
          </cell>
          <cell r="W175">
            <v>170</v>
          </cell>
          <cell r="X175">
            <v>85</v>
          </cell>
          <cell r="Y175">
            <v>2400</v>
          </cell>
          <cell r="Z175">
            <v>1200</v>
          </cell>
          <cell r="AA175">
            <v>2400</v>
          </cell>
          <cell r="AB175">
            <v>1200</v>
          </cell>
          <cell r="AC175">
            <v>1600</v>
          </cell>
          <cell r="AD175">
            <v>800</v>
          </cell>
        </row>
        <row r="176">
          <cell r="A176" t="str">
            <v>1104671D670</v>
          </cell>
          <cell r="B176" t="str">
            <v>Hyperion Max 3</v>
          </cell>
          <cell r="C176" t="str">
            <v>HYPERION MAX</v>
          </cell>
          <cell r="D176" t="str">
            <v>HYPERION MAX</v>
          </cell>
          <cell r="E176" t="str">
            <v>RESPONSIVE CUSHION</v>
          </cell>
          <cell r="F176" t="str">
            <v>mens</v>
          </cell>
          <cell r="G176" t="str">
            <v>110467</v>
          </cell>
          <cell r="H176" t="str">
            <v>1D</v>
          </cell>
          <cell r="I176" t="str">
            <v>670</v>
          </cell>
          <cell r="J176" t="str">
            <v>670 Fiery Coral/Black/Atomizer</v>
          </cell>
          <cell r="K176" t="str">
            <v>New</v>
          </cell>
          <cell r="L176">
            <v>45839</v>
          </cell>
          <cell r="M176">
            <v>45992</v>
          </cell>
        </row>
        <row r="176">
          <cell r="O176" t="str">
            <v>Inline</v>
          </cell>
        </row>
        <row r="176">
          <cell r="Q176" t="str">
            <v>F2025</v>
          </cell>
          <cell r="R176" t="str">
            <v>7-13, 14, 15</v>
          </cell>
          <cell r="S176">
            <v>190</v>
          </cell>
          <cell r="T176">
            <v>95</v>
          </cell>
          <cell r="U176">
            <v>220</v>
          </cell>
          <cell r="V176">
            <v>110</v>
          </cell>
          <cell r="W176">
            <v>170</v>
          </cell>
          <cell r="X176">
            <v>85</v>
          </cell>
          <cell r="Y176">
            <v>2400</v>
          </cell>
          <cell r="Z176">
            <v>1200</v>
          </cell>
          <cell r="AA176">
            <v>2400</v>
          </cell>
          <cell r="AB176">
            <v>1200</v>
          </cell>
          <cell r="AC176">
            <v>1600</v>
          </cell>
          <cell r="AD176">
            <v>800</v>
          </cell>
        </row>
        <row r="177">
          <cell r="A177" t="str">
            <v>1204551B182</v>
          </cell>
          <cell r="B177" t="str">
            <v>Hyperion Max 3</v>
          </cell>
          <cell r="C177" t="str">
            <v>HYPERION MAX</v>
          </cell>
          <cell r="D177" t="str">
            <v>HYPERION MAX</v>
          </cell>
          <cell r="E177" t="str">
            <v>RESPONSIVE CUSHION</v>
          </cell>
          <cell r="F177" t="str">
            <v>womens</v>
          </cell>
          <cell r="G177" t="str">
            <v>120455</v>
          </cell>
          <cell r="H177" t="str">
            <v>1B</v>
          </cell>
          <cell r="I177" t="str">
            <v>182</v>
          </cell>
          <cell r="J177" t="str">
            <v>182 Coconut/Green Gecko/Pink Clay</v>
          </cell>
          <cell r="K177" t="str">
            <v>New</v>
          </cell>
          <cell r="L177">
            <v>45839</v>
          </cell>
          <cell r="M177">
            <v>46204</v>
          </cell>
        </row>
        <row r="177">
          <cell r="O177" t="str">
            <v>Inline</v>
          </cell>
        </row>
        <row r="177">
          <cell r="Q177" t="str">
            <v>F2025</v>
          </cell>
          <cell r="R177" t="str">
            <v>5-12</v>
          </cell>
          <cell r="S177">
            <v>190</v>
          </cell>
          <cell r="T177">
            <v>95</v>
          </cell>
          <cell r="U177">
            <v>220</v>
          </cell>
          <cell r="V177">
            <v>110</v>
          </cell>
          <cell r="W177">
            <v>170</v>
          </cell>
          <cell r="X177">
            <v>85</v>
          </cell>
          <cell r="Y177">
            <v>2400</v>
          </cell>
          <cell r="Z177">
            <v>1200</v>
          </cell>
          <cell r="AA177">
            <v>2400</v>
          </cell>
          <cell r="AB177">
            <v>1200</v>
          </cell>
          <cell r="AC177">
            <v>1600</v>
          </cell>
          <cell r="AD177">
            <v>800</v>
          </cell>
        </row>
        <row r="178">
          <cell r="A178" t="str">
            <v>1204551B659</v>
          </cell>
          <cell r="B178" t="str">
            <v>Hyperion Max 3</v>
          </cell>
          <cell r="C178" t="str">
            <v>HYPERION MAX</v>
          </cell>
          <cell r="D178" t="str">
            <v>HYPERION MAX</v>
          </cell>
          <cell r="E178" t="str">
            <v>RESPONSIVE CUSHION</v>
          </cell>
          <cell r="F178" t="str">
            <v>womens</v>
          </cell>
          <cell r="G178" t="str">
            <v>120455</v>
          </cell>
          <cell r="H178" t="str">
            <v>1B</v>
          </cell>
          <cell r="I178" t="str">
            <v>659</v>
          </cell>
          <cell r="J178" t="str">
            <v>659 Coconut/Fiery Coral/Atomizer</v>
          </cell>
          <cell r="K178" t="str">
            <v>New</v>
          </cell>
          <cell r="L178">
            <v>45839</v>
          </cell>
          <cell r="M178">
            <v>45992</v>
          </cell>
        </row>
        <row r="178">
          <cell r="O178" t="str">
            <v>Inline</v>
          </cell>
        </row>
        <row r="178">
          <cell r="Q178" t="str">
            <v>F2025</v>
          </cell>
          <cell r="R178" t="str">
            <v>5-12</v>
          </cell>
          <cell r="S178">
            <v>190</v>
          </cell>
          <cell r="T178">
            <v>95</v>
          </cell>
          <cell r="U178">
            <v>220</v>
          </cell>
          <cell r="V178">
            <v>110</v>
          </cell>
          <cell r="W178">
            <v>170</v>
          </cell>
          <cell r="X178">
            <v>85</v>
          </cell>
          <cell r="Y178">
            <v>2400</v>
          </cell>
          <cell r="Z178">
            <v>1200</v>
          </cell>
          <cell r="AA178">
            <v>2400</v>
          </cell>
          <cell r="AB178">
            <v>1200</v>
          </cell>
          <cell r="AC178">
            <v>1600</v>
          </cell>
          <cell r="AD178">
            <v>800</v>
          </cell>
        </row>
        <row r="179">
          <cell r="A179" t="str">
            <v>1104501D087</v>
          </cell>
          <cell r="B179" t="str">
            <v>Launch 11</v>
          </cell>
          <cell r="C179" t="str">
            <v>LAUNCH</v>
          </cell>
          <cell r="D179" t="str">
            <v>LAUNCH</v>
          </cell>
          <cell r="E179" t="str">
            <v>RESPONSIVE CUSHION</v>
          </cell>
          <cell r="F179" t="str">
            <v>mens</v>
          </cell>
          <cell r="G179" t="str">
            <v>110450</v>
          </cell>
          <cell r="H179" t="str">
            <v>1D</v>
          </cell>
          <cell r="I179" t="str">
            <v>087</v>
          </cell>
          <cell r="J179" t="str">
            <v>087 Black/White</v>
          </cell>
          <cell r="K179" t="str">
            <v>Carry Over</v>
          </cell>
          <cell r="L179">
            <v>45809</v>
          </cell>
          <cell r="M179">
            <v>46023</v>
          </cell>
        </row>
        <row r="179">
          <cell r="O179" t="str">
            <v>Inline</v>
          </cell>
        </row>
        <row r="179">
          <cell r="Q179" t="str">
            <v>F2025</v>
          </cell>
          <cell r="R179" t="str">
            <v>7-13, 14, 15</v>
          </cell>
          <cell r="S179">
            <v>120</v>
          </cell>
          <cell r="T179">
            <v>60</v>
          </cell>
          <cell r="U179">
            <v>160</v>
          </cell>
          <cell r="V179">
            <v>80</v>
          </cell>
          <cell r="W179">
            <v>110</v>
          </cell>
          <cell r="X179">
            <v>55</v>
          </cell>
          <cell r="Y179">
            <v>1500</v>
          </cell>
          <cell r="Z179">
            <v>750</v>
          </cell>
          <cell r="AA179">
            <v>1500</v>
          </cell>
          <cell r="AB179">
            <v>750</v>
          </cell>
          <cell r="AC179">
            <v>1100</v>
          </cell>
          <cell r="AD179">
            <v>550</v>
          </cell>
        </row>
        <row r="180">
          <cell r="A180" t="str">
            <v>1104501D105</v>
          </cell>
          <cell r="B180" t="str">
            <v>Launch 11</v>
          </cell>
          <cell r="C180" t="str">
            <v>LAUNCH</v>
          </cell>
          <cell r="D180" t="str">
            <v>LAUNCH</v>
          </cell>
          <cell r="E180" t="str">
            <v>RESPONSIVE CUSHION</v>
          </cell>
          <cell r="F180" t="str">
            <v>mens</v>
          </cell>
          <cell r="G180" t="str">
            <v>110450</v>
          </cell>
          <cell r="H180" t="str">
            <v>1D</v>
          </cell>
          <cell r="I180" t="str">
            <v>105</v>
          </cell>
          <cell r="J180" t="str">
            <v>105 White/Atomizer/Pink Clay</v>
          </cell>
          <cell r="K180" t="str">
            <v>New Color</v>
          </cell>
          <cell r="L180">
            <v>45839</v>
          </cell>
          <cell r="M180">
            <v>46023</v>
          </cell>
        </row>
        <row r="180">
          <cell r="O180" t="str">
            <v>Inline</v>
          </cell>
        </row>
        <row r="180">
          <cell r="Q180" t="str">
            <v>F2025</v>
          </cell>
          <cell r="R180" t="str">
            <v>7-13, 14, 15</v>
          </cell>
          <cell r="S180">
            <v>120</v>
          </cell>
          <cell r="T180">
            <v>60</v>
          </cell>
          <cell r="U180">
            <v>160</v>
          </cell>
          <cell r="V180">
            <v>80</v>
          </cell>
          <cell r="W180">
            <v>110</v>
          </cell>
          <cell r="X180">
            <v>55</v>
          </cell>
          <cell r="Y180">
            <v>1500</v>
          </cell>
          <cell r="Z180">
            <v>750</v>
          </cell>
          <cell r="AA180">
            <v>1500</v>
          </cell>
          <cell r="AB180">
            <v>750</v>
          </cell>
          <cell r="AC180">
            <v>1100</v>
          </cell>
          <cell r="AD180">
            <v>550</v>
          </cell>
        </row>
        <row r="181">
          <cell r="A181" t="str">
            <v>1104501D448</v>
          </cell>
          <cell r="B181" t="str">
            <v>Launch 11</v>
          </cell>
          <cell r="C181" t="str">
            <v>LAUNCH</v>
          </cell>
          <cell r="D181" t="str">
            <v>LAUNCH</v>
          </cell>
          <cell r="E181" t="str">
            <v>RESPONSIVE CUSHION</v>
          </cell>
          <cell r="F181" t="str">
            <v>mens</v>
          </cell>
          <cell r="G181" t="str">
            <v>110450</v>
          </cell>
          <cell r="H181" t="str">
            <v>1D</v>
          </cell>
          <cell r="I181" t="str">
            <v>448</v>
          </cell>
          <cell r="J181" t="str">
            <v>448 Black/Navy Peony/Orange</v>
          </cell>
          <cell r="K181" t="str">
            <v>New Color</v>
          </cell>
          <cell r="L181">
            <v>45839</v>
          </cell>
          <cell r="M181">
            <v>46023</v>
          </cell>
        </row>
        <row r="181">
          <cell r="O181" t="str">
            <v>Inline</v>
          </cell>
        </row>
        <row r="181">
          <cell r="Q181" t="str">
            <v>F2025</v>
          </cell>
          <cell r="R181" t="str">
            <v>7-13, 14, 15</v>
          </cell>
          <cell r="S181">
            <v>120</v>
          </cell>
          <cell r="T181">
            <v>60</v>
          </cell>
          <cell r="U181">
            <v>160</v>
          </cell>
          <cell r="V181">
            <v>80</v>
          </cell>
          <cell r="W181">
            <v>110</v>
          </cell>
          <cell r="X181">
            <v>55</v>
          </cell>
          <cell r="Y181">
            <v>1500</v>
          </cell>
          <cell r="Z181">
            <v>750</v>
          </cell>
          <cell r="AA181">
            <v>1500</v>
          </cell>
          <cell r="AB181">
            <v>750</v>
          </cell>
          <cell r="AC181">
            <v>1100</v>
          </cell>
          <cell r="AD181">
            <v>550</v>
          </cell>
        </row>
        <row r="182">
          <cell r="A182" t="str">
            <v>1204391B087</v>
          </cell>
          <cell r="B182" t="str">
            <v>Launch 11</v>
          </cell>
          <cell r="C182" t="str">
            <v>LAUNCH</v>
          </cell>
          <cell r="D182" t="str">
            <v>LAUNCH</v>
          </cell>
          <cell r="E182" t="str">
            <v>RESPONSIVE CUSHION</v>
          </cell>
          <cell r="F182" t="str">
            <v>womens</v>
          </cell>
          <cell r="G182" t="str">
            <v>120439</v>
          </cell>
          <cell r="H182" t="str">
            <v>1B</v>
          </cell>
          <cell r="I182" t="str">
            <v>087</v>
          </cell>
          <cell r="J182" t="str">
            <v>087 Black/White</v>
          </cell>
          <cell r="K182" t="str">
            <v>Carry Over</v>
          </cell>
          <cell r="L182">
            <v>45809</v>
          </cell>
          <cell r="M182">
            <v>46023</v>
          </cell>
        </row>
        <row r="182">
          <cell r="O182" t="str">
            <v>Inline</v>
          </cell>
        </row>
        <row r="182">
          <cell r="Q182" t="str">
            <v>F2025</v>
          </cell>
          <cell r="R182" t="str">
            <v>5-12</v>
          </cell>
          <cell r="S182">
            <v>120</v>
          </cell>
          <cell r="T182">
            <v>60</v>
          </cell>
          <cell r="U182">
            <v>160</v>
          </cell>
          <cell r="V182">
            <v>80</v>
          </cell>
          <cell r="W182">
            <v>110</v>
          </cell>
          <cell r="X182">
            <v>55</v>
          </cell>
          <cell r="Y182">
            <v>1500</v>
          </cell>
          <cell r="Z182">
            <v>750</v>
          </cell>
          <cell r="AA182">
            <v>1500</v>
          </cell>
          <cell r="AB182">
            <v>750</v>
          </cell>
          <cell r="AC182">
            <v>1100</v>
          </cell>
          <cell r="AD182">
            <v>550</v>
          </cell>
        </row>
        <row r="183">
          <cell r="A183" t="str">
            <v>1204391B105</v>
          </cell>
          <cell r="B183" t="str">
            <v>Launch 11</v>
          </cell>
          <cell r="C183" t="str">
            <v>LAUNCH</v>
          </cell>
          <cell r="D183" t="str">
            <v>LAUNCH</v>
          </cell>
          <cell r="E183" t="str">
            <v>RESPONSIVE CUSHION</v>
          </cell>
          <cell r="F183" t="str">
            <v>womens</v>
          </cell>
          <cell r="G183" t="str">
            <v>120439</v>
          </cell>
          <cell r="H183" t="str">
            <v>1B</v>
          </cell>
          <cell r="I183" t="str">
            <v>105</v>
          </cell>
          <cell r="J183" t="str">
            <v>105 White/Atomizer/Pink Clay</v>
          </cell>
          <cell r="K183" t="str">
            <v>New Color</v>
          </cell>
          <cell r="L183">
            <v>45839</v>
          </cell>
          <cell r="M183">
            <v>46023</v>
          </cell>
        </row>
        <row r="183">
          <cell r="O183" t="str">
            <v>Inline</v>
          </cell>
        </row>
        <row r="183">
          <cell r="Q183" t="str">
            <v>F2025</v>
          </cell>
          <cell r="R183" t="str">
            <v>5-12</v>
          </cell>
          <cell r="S183">
            <v>120</v>
          </cell>
          <cell r="T183">
            <v>60</v>
          </cell>
          <cell r="U183">
            <v>160</v>
          </cell>
          <cell r="V183">
            <v>80</v>
          </cell>
          <cell r="W183">
            <v>110</v>
          </cell>
          <cell r="X183">
            <v>55</v>
          </cell>
          <cell r="Y183">
            <v>1500</v>
          </cell>
          <cell r="Z183">
            <v>750</v>
          </cell>
          <cell r="AA183">
            <v>1500</v>
          </cell>
          <cell r="AB183">
            <v>750</v>
          </cell>
          <cell r="AC183">
            <v>1100</v>
          </cell>
          <cell r="AD183">
            <v>550</v>
          </cell>
        </row>
        <row r="184">
          <cell r="A184" t="str">
            <v>1204391B843</v>
          </cell>
          <cell r="B184" t="str">
            <v>Launch 11</v>
          </cell>
          <cell r="C184" t="str">
            <v>LAUNCH</v>
          </cell>
          <cell r="D184" t="str">
            <v>LAUNCH</v>
          </cell>
          <cell r="E184" t="str">
            <v>RESPONSIVE CUSHION</v>
          </cell>
          <cell r="F184" t="str">
            <v>womens</v>
          </cell>
          <cell r="G184" t="str">
            <v>120439</v>
          </cell>
          <cell r="H184" t="str">
            <v>1B</v>
          </cell>
          <cell r="I184" t="str">
            <v>843</v>
          </cell>
          <cell r="J184" t="str">
            <v>843 Sherbert/Coconut/Pink</v>
          </cell>
          <cell r="K184" t="str">
            <v>New Color</v>
          </cell>
          <cell r="L184">
            <v>45839</v>
          </cell>
          <cell r="M184">
            <v>46023</v>
          </cell>
        </row>
        <row r="184">
          <cell r="O184" t="str">
            <v>Inline</v>
          </cell>
        </row>
        <row r="184">
          <cell r="Q184" t="str">
            <v>F2025</v>
          </cell>
          <cell r="R184" t="str">
            <v>5-12</v>
          </cell>
          <cell r="S184">
            <v>120</v>
          </cell>
          <cell r="T184">
            <v>60</v>
          </cell>
          <cell r="U184">
            <v>160</v>
          </cell>
          <cell r="V184">
            <v>80</v>
          </cell>
          <cell r="W184">
            <v>110</v>
          </cell>
          <cell r="X184">
            <v>55</v>
          </cell>
          <cell r="Y184">
            <v>1500</v>
          </cell>
          <cell r="Z184">
            <v>750</v>
          </cell>
          <cell r="AA184">
            <v>1500</v>
          </cell>
          <cell r="AB184">
            <v>750</v>
          </cell>
          <cell r="AC184">
            <v>1100</v>
          </cell>
          <cell r="AD184">
            <v>550</v>
          </cell>
        </row>
        <row r="185">
          <cell r="A185" t="str">
            <v>1104681D011</v>
          </cell>
          <cell r="B185" t="str">
            <v>Revel 8</v>
          </cell>
          <cell r="C185" t="str">
            <v>REVEL</v>
          </cell>
          <cell r="D185" t="str">
            <v>REVEL</v>
          </cell>
          <cell r="E185" t="str">
            <v>DYNAMIC CUSHION</v>
          </cell>
          <cell r="F185" t="str">
            <v>mens</v>
          </cell>
          <cell r="G185" t="str">
            <v>110468</v>
          </cell>
          <cell r="H185" t="str">
            <v>1D</v>
          </cell>
          <cell r="I185" t="str">
            <v>011</v>
          </cell>
          <cell r="J185" t="str">
            <v>011 Black/Excalibur/Orange</v>
          </cell>
          <cell r="K185" t="str">
            <v>New</v>
          </cell>
          <cell r="L185">
            <v>45839</v>
          </cell>
          <cell r="M185">
            <v>46204</v>
          </cell>
        </row>
        <row r="185">
          <cell r="O185" t="str">
            <v>Inline</v>
          </cell>
        </row>
        <row r="185">
          <cell r="Q185" t="str">
            <v>F2025</v>
          </cell>
          <cell r="R185" t="str">
            <v>7-13, 14, 15</v>
          </cell>
          <cell r="S185">
            <v>100</v>
          </cell>
          <cell r="T185">
            <v>50</v>
          </cell>
          <cell r="U185">
            <v>140</v>
          </cell>
          <cell r="V185">
            <v>70</v>
          </cell>
          <cell r="W185">
            <v>100</v>
          </cell>
          <cell r="X185">
            <v>50</v>
          </cell>
          <cell r="Y185">
            <v>1200</v>
          </cell>
          <cell r="Z185">
            <v>600</v>
          </cell>
          <cell r="AA185">
            <v>1200</v>
          </cell>
          <cell r="AB185">
            <v>600</v>
          </cell>
          <cell r="AC185">
            <v>800</v>
          </cell>
          <cell r="AD185">
            <v>400</v>
          </cell>
        </row>
        <row r="186">
          <cell r="A186" t="str">
            <v>1104681D090</v>
          </cell>
          <cell r="B186" t="str">
            <v>Revel 8</v>
          </cell>
          <cell r="C186" t="str">
            <v>REVEL</v>
          </cell>
          <cell r="D186" t="str">
            <v>REVEL</v>
          </cell>
          <cell r="E186" t="str">
            <v>DYNAMIC CUSHION</v>
          </cell>
          <cell r="F186" t="str">
            <v>mens</v>
          </cell>
          <cell r="G186" t="str">
            <v>110468</v>
          </cell>
          <cell r="H186" t="str">
            <v>1D</v>
          </cell>
          <cell r="I186" t="str">
            <v>090</v>
          </cell>
          <cell r="J186" t="str">
            <v>090 Black/Grey/White</v>
          </cell>
          <cell r="K186" t="str">
            <v>New</v>
          </cell>
          <cell r="L186">
            <v>45839</v>
          </cell>
          <cell r="M186">
            <v>46204</v>
          </cell>
        </row>
        <row r="186">
          <cell r="O186" t="str">
            <v>Inline</v>
          </cell>
        </row>
        <row r="186">
          <cell r="Q186" t="str">
            <v>F2025</v>
          </cell>
          <cell r="R186" t="str">
            <v>7-13, 14, 15</v>
          </cell>
          <cell r="S186">
            <v>100</v>
          </cell>
          <cell r="T186">
            <v>50</v>
          </cell>
          <cell r="U186">
            <v>140</v>
          </cell>
          <cell r="V186">
            <v>70</v>
          </cell>
          <cell r="W186">
            <v>100</v>
          </cell>
          <cell r="X186">
            <v>50</v>
          </cell>
          <cell r="Y186">
            <v>1200</v>
          </cell>
          <cell r="Z186">
            <v>600</v>
          </cell>
          <cell r="AA186">
            <v>1200</v>
          </cell>
          <cell r="AB186">
            <v>600</v>
          </cell>
          <cell r="AC186">
            <v>800</v>
          </cell>
          <cell r="AD186">
            <v>400</v>
          </cell>
        </row>
        <row r="187">
          <cell r="A187" t="str">
            <v>1104681D107</v>
          </cell>
          <cell r="B187" t="str">
            <v>Revel 8</v>
          </cell>
          <cell r="C187" t="str">
            <v>REVEL</v>
          </cell>
          <cell r="D187" t="str">
            <v>REVEL</v>
          </cell>
          <cell r="E187" t="str">
            <v>DYNAMIC CUSHION</v>
          </cell>
          <cell r="F187" t="str">
            <v>mens</v>
          </cell>
          <cell r="G187" t="str">
            <v>110468</v>
          </cell>
          <cell r="H187" t="str">
            <v>1D</v>
          </cell>
          <cell r="I187" t="str">
            <v>107</v>
          </cell>
          <cell r="J187" t="str">
            <v>107 White/Black/Oak Buff</v>
          </cell>
          <cell r="K187" t="str">
            <v>New</v>
          </cell>
          <cell r="L187">
            <v>45839</v>
          </cell>
          <cell r="M187">
            <v>46204</v>
          </cell>
        </row>
        <row r="187">
          <cell r="O187" t="str">
            <v>Inline</v>
          </cell>
        </row>
        <row r="187">
          <cell r="Q187" t="str">
            <v>F2025</v>
          </cell>
          <cell r="R187" t="str">
            <v>7-13, 14, 15</v>
          </cell>
          <cell r="S187">
            <v>100</v>
          </cell>
          <cell r="T187">
            <v>50</v>
          </cell>
          <cell r="U187">
            <v>140</v>
          </cell>
          <cell r="V187">
            <v>70</v>
          </cell>
          <cell r="W187">
            <v>100</v>
          </cell>
          <cell r="X187">
            <v>50</v>
          </cell>
          <cell r="Y187">
            <v>1200</v>
          </cell>
          <cell r="Z187">
            <v>600</v>
          </cell>
          <cell r="AA187">
            <v>1200</v>
          </cell>
          <cell r="AB187">
            <v>600</v>
          </cell>
          <cell r="AC187">
            <v>800</v>
          </cell>
          <cell r="AD187">
            <v>400</v>
          </cell>
        </row>
        <row r="188">
          <cell r="A188" t="str">
            <v>1104681D425</v>
          </cell>
          <cell r="B188" t="str">
            <v>Revel 8</v>
          </cell>
          <cell r="C188" t="str">
            <v>REVEL</v>
          </cell>
          <cell r="D188" t="str">
            <v>REVEL</v>
          </cell>
          <cell r="E188" t="str">
            <v>DYNAMIC CUSHION</v>
          </cell>
          <cell r="F188" t="str">
            <v>mens</v>
          </cell>
          <cell r="G188" t="str">
            <v>110468</v>
          </cell>
          <cell r="H188" t="str">
            <v>1D</v>
          </cell>
          <cell r="I188" t="str">
            <v>425</v>
          </cell>
          <cell r="J188" t="str">
            <v>425 Navy Peony/Black/Acid Lime</v>
          </cell>
          <cell r="K188" t="str">
            <v>New</v>
          </cell>
          <cell r="L188">
            <v>45839</v>
          </cell>
          <cell r="M188">
            <v>46204</v>
          </cell>
        </row>
        <row r="188">
          <cell r="O188" t="str">
            <v>Inline</v>
          </cell>
        </row>
        <row r="188">
          <cell r="Q188" t="str">
            <v>F2025</v>
          </cell>
          <cell r="R188" t="str">
            <v>7-13, 14, 15</v>
          </cell>
          <cell r="S188">
            <v>100</v>
          </cell>
          <cell r="T188">
            <v>50</v>
          </cell>
          <cell r="U188">
            <v>140</v>
          </cell>
          <cell r="V188">
            <v>70</v>
          </cell>
          <cell r="W188">
            <v>100</v>
          </cell>
          <cell r="X188">
            <v>50</v>
          </cell>
          <cell r="Y188">
            <v>1200</v>
          </cell>
          <cell r="Z188">
            <v>600</v>
          </cell>
          <cell r="AA188">
            <v>1200</v>
          </cell>
          <cell r="AB188">
            <v>600</v>
          </cell>
          <cell r="AC188">
            <v>800</v>
          </cell>
          <cell r="AD188">
            <v>400</v>
          </cell>
        </row>
        <row r="189">
          <cell r="A189" t="str">
            <v>1204561B043</v>
          </cell>
          <cell r="B189" t="str">
            <v>Revel 8</v>
          </cell>
          <cell r="C189" t="str">
            <v>REVEL</v>
          </cell>
          <cell r="D189" t="str">
            <v>REVEL</v>
          </cell>
          <cell r="E189" t="str">
            <v>DYNAMIC CUSHION</v>
          </cell>
          <cell r="F189" t="str">
            <v>womens</v>
          </cell>
          <cell r="G189" t="str">
            <v>120456</v>
          </cell>
          <cell r="H189" t="str">
            <v>1B</v>
          </cell>
          <cell r="I189" t="str">
            <v>043</v>
          </cell>
          <cell r="J189" t="str">
            <v>043 Black/Black/Rose Gold</v>
          </cell>
          <cell r="K189" t="str">
            <v>New</v>
          </cell>
          <cell r="L189">
            <v>45839</v>
          </cell>
          <cell r="M189">
            <v>46204</v>
          </cell>
        </row>
        <row r="189">
          <cell r="O189" t="str">
            <v>Inline</v>
          </cell>
        </row>
        <row r="189">
          <cell r="Q189" t="str">
            <v>F2025</v>
          </cell>
          <cell r="R189" t="str">
            <v>5-12</v>
          </cell>
          <cell r="S189">
            <v>100</v>
          </cell>
          <cell r="T189">
            <v>50</v>
          </cell>
          <cell r="U189">
            <v>140</v>
          </cell>
          <cell r="V189">
            <v>70</v>
          </cell>
          <cell r="W189">
            <v>100</v>
          </cell>
          <cell r="X189">
            <v>50</v>
          </cell>
          <cell r="Y189">
            <v>1200</v>
          </cell>
          <cell r="Z189">
            <v>600</v>
          </cell>
          <cell r="AA189">
            <v>1200</v>
          </cell>
          <cell r="AB189">
            <v>600</v>
          </cell>
          <cell r="AC189">
            <v>800</v>
          </cell>
          <cell r="AD189">
            <v>400</v>
          </cell>
        </row>
        <row r="190">
          <cell r="A190" t="str">
            <v>1204561B090</v>
          </cell>
          <cell r="B190" t="str">
            <v>Revel 8</v>
          </cell>
          <cell r="C190" t="str">
            <v>REVEL</v>
          </cell>
          <cell r="D190" t="str">
            <v>REVEL</v>
          </cell>
          <cell r="E190" t="str">
            <v>DYNAMIC CUSHION</v>
          </cell>
          <cell r="F190" t="str">
            <v>womens</v>
          </cell>
          <cell r="G190" t="str">
            <v>120456</v>
          </cell>
          <cell r="H190" t="str">
            <v>1B</v>
          </cell>
          <cell r="I190" t="str">
            <v>090</v>
          </cell>
          <cell r="J190" t="str">
            <v>090 Black/Grey/White</v>
          </cell>
          <cell r="K190" t="str">
            <v>New</v>
          </cell>
          <cell r="L190">
            <v>45839</v>
          </cell>
          <cell r="M190">
            <v>46204</v>
          </cell>
        </row>
        <row r="190">
          <cell r="O190" t="str">
            <v>Inline</v>
          </cell>
        </row>
        <row r="190">
          <cell r="Q190" t="str">
            <v>F2025</v>
          </cell>
          <cell r="R190" t="str">
            <v>5-12</v>
          </cell>
          <cell r="S190">
            <v>100</v>
          </cell>
          <cell r="T190">
            <v>50</v>
          </cell>
          <cell r="U190">
            <v>140</v>
          </cell>
          <cell r="V190">
            <v>70</v>
          </cell>
          <cell r="W190">
            <v>100</v>
          </cell>
          <cell r="X190">
            <v>50</v>
          </cell>
          <cell r="Y190">
            <v>1200</v>
          </cell>
          <cell r="Z190">
            <v>600</v>
          </cell>
          <cell r="AA190">
            <v>1200</v>
          </cell>
          <cell r="AB190">
            <v>600</v>
          </cell>
          <cell r="AC190">
            <v>800</v>
          </cell>
          <cell r="AD190">
            <v>400</v>
          </cell>
        </row>
        <row r="191">
          <cell r="A191" t="str">
            <v>1204561B160</v>
          </cell>
          <cell r="B191" t="str">
            <v>Revel 8</v>
          </cell>
          <cell r="C191" t="str">
            <v>REVEL</v>
          </cell>
          <cell r="D191" t="str">
            <v>REVEL</v>
          </cell>
          <cell r="E191" t="str">
            <v>DYNAMIC CUSHION</v>
          </cell>
          <cell r="F191" t="str">
            <v>womens</v>
          </cell>
          <cell r="G191" t="str">
            <v>120456</v>
          </cell>
          <cell r="H191" t="str">
            <v>1B</v>
          </cell>
          <cell r="I191" t="str">
            <v>160</v>
          </cell>
          <cell r="J191" t="str">
            <v>160 Coconut/Purple Rose/Clearwater</v>
          </cell>
          <cell r="K191" t="str">
            <v>New</v>
          </cell>
          <cell r="L191">
            <v>45839</v>
          </cell>
          <cell r="M191">
            <v>45992</v>
          </cell>
        </row>
        <row r="191">
          <cell r="O191" t="str">
            <v>Inline</v>
          </cell>
        </row>
        <row r="191">
          <cell r="Q191" t="str">
            <v>F2025</v>
          </cell>
          <cell r="R191" t="str">
            <v>5-12</v>
          </cell>
          <cell r="S191">
            <v>100</v>
          </cell>
          <cell r="T191">
            <v>50</v>
          </cell>
          <cell r="U191">
            <v>140</v>
          </cell>
          <cell r="V191">
            <v>70</v>
          </cell>
          <cell r="W191">
            <v>100</v>
          </cell>
          <cell r="X191">
            <v>50</v>
          </cell>
          <cell r="Y191">
            <v>1200</v>
          </cell>
          <cell r="Z191">
            <v>600</v>
          </cell>
          <cell r="AA191">
            <v>1200</v>
          </cell>
          <cell r="AB191">
            <v>600</v>
          </cell>
          <cell r="AC191">
            <v>800</v>
          </cell>
          <cell r="AD191">
            <v>400</v>
          </cell>
        </row>
        <row r="192">
          <cell r="A192" t="str">
            <v>1204561B451</v>
          </cell>
          <cell r="B192" t="str">
            <v>Revel 8</v>
          </cell>
          <cell r="C192" t="str">
            <v>REVEL</v>
          </cell>
          <cell r="D192" t="str">
            <v>REVEL</v>
          </cell>
          <cell r="E192" t="str">
            <v>DYNAMIC CUSHION</v>
          </cell>
          <cell r="F192" t="str">
            <v>womens</v>
          </cell>
          <cell r="G192" t="str">
            <v>120456</v>
          </cell>
          <cell r="H192" t="str">
            <v>1B</v>
          </cell>
          <cell r="I192" t="str">
            <v>451</v>
          </cell>
          <cell r="J192" t="str">
            <v>451 Blue Heron/Orange/Coconut</v>
          </cell>
          <cell r="K192" t="str">
            <v>New</v>
          </cell>
          <cell r="L192">
            <v>45839</v>
          </cell>
          <cell r="M192">
            <v>45992</v>
          </cell>
        </row>
        <row r="192">
          <cell r="O192" t="str">
            <v>Inline</v>
          </cell>
        </row>
        <row r="192">
          <cell r="Q192" t="str">
            <v>F2025</v>
          </cell>
          <cell r="R192" t="str">
            <v>5-12</v>
          </cell>
          <cell r="S192">
            <v>100</v>
          </cell>
          <cell r="T192">
            <v>50</v>
          </cell>
          <cell r="U192">
            <v>140</v>
          </cell>
          <cell r="V192">
            <v>70</v>
          </cell>
          <cell r="W192">
            <v>100</v>
          </cell>
          <cell r="X192">
            <v>50</v>
          </cell>
          <cell r="Y192">
            <v>1200</v>
          </cell>
          <cell r="Z192">
            <v>600</v>
          </cell>
          <cell r="AA192">
            <v>1200</v>
          </cell>
          <cell r="AB192">
            <v>600</v>
          </cell>
          <cell r="AC192">
            <v>800</v>
          </cell>
          <cell r="AD192">
            <v>400</v>
          </cell>
        </row>
        <row r="193">
          <cell r="A193" t="str">
            <v>1104521D090</v>
          </cell>
          <cell r="B193" t="str">
            <v>Trace 4</v>
          </cell>
          <cell r="C193" t="str">
            <v>TRACE</v>
          </cell>
          <cell r="D193" t="str">
            <v>TRACE</v>
          </cell>
          <cell r="E193" t="str">
            <v>DYNAMIC CUSHION</v>
          </cell>
          <cell r="F193" t="str">
            <v>mens</v>
          </cell>
          <cell r="G193" t="str">
            <v>110452</v>
          </cell>
          <cell r="H193" t="str">
            <v>1D</v>
          </cell>
          <cell r="I193" t="str">
            <v>090</v>
          </cell>
          <cell r="J193" t="str">
            <v>090 Black/Grey/White</v>
          </cell>
          <cell r="K193" t="str">
            <v>Carry Over</v>
          </cell>
          <cell r="L193">
            <v>45809</v>
          </cell>
          <cell r="M193">
            <v>45992</v>
          </cell>
        </row>
        <row r="193">
          <cell r="O193" t="str">
            <v>Inline</v>
          </cell>
        </row>
        <row r="193">
          <cell r="Q193" t="str">
            <v>F2025</v>
          </cell>
          <cell r="R193" t="str">
            <v>7-13, 14, 15</v>
          </cell>
          <cell r="S193">
            <v>110</v>
          </cell>
          <cell r="T193">
            <v>55</v>
          </cell>
          <cell r="U193">
            <v>150</v>
          </cell>
          <cell r="V193">
            <v>75</v>
          </cell>
          <cell r="W193">
            <v>100</v>
          </cell>
          <cell r="X193">
            <v>50</v>
          </cell>
          <cell r="Y193">
            <v>1300</v>
          </cell>
          <cell r="Z193">
            <v>650</v>
          </cell>
          <cell r="AA193">
            <v>1300</v>
          </cell>
          <cell r="AB193">
            <v>650</v>
          </cell>
          <cell r="AC193">
            <v>850</v>
          </cell>
          <cell r="AD193">
            <v>425</v>
          </cell>
        </row>
        <row r="194">
          <cell r="A194" t="str">
            <v>1104521D095</v>
          </cell>
          <cell r="B194" t="str">
            <v>Trace 4</v>
          </cell>
          <cell r="C194" t="str">
            <v>TRACE</v>
          </cell>
          <cell r="D194" t="str">
            <v>TRACE</v>
          </cell>
          <cell r="E194" t="str">
            <v>DYNAMIC CUSHION</v>
          </cell>
          <cell r="F194" t="str">
            <v>mens</v>
          </cell>
          <cell r="G194" t="str">
            <v>110452</v>
          </cell>
          <cell r="H194" t="str">
            <v>1D</v>
          </cell>
          <cell r="I194" t="str">
            <v>095</v>
          </cell>
          <cell r="J194" t="str">
            <v>095 Black/Ebony/Cloissonne</v>
          </cell>
          <cell r="K194" t="str">
            <v>New Color</v>
          </cell>
          <cell r="L194">
            <v>45809</v>
          </cell>
          <cell r="M194">
            <v>45992</v>
          </cell>
        </row>
        <row r="194">
          <cell r="O194" t="str">
            <v>Inline</v>
          </cell>
        </row>
        <row r="194">
          <cell r="Q194" t="str">
            <v>F2025</v>
          </cell>
          <cell r="R194" t="str">
            <v>7-13, 14, 15</v>
          </cell>
          <cell r="S194">
            <v>110</v>
          </cell>
          <cell r="T194">
            <v>55</v>
          </cell>
          <cell r="U194">
            <v>150</v>
          </cell>
          <cell r="V194">
            <v>75</v>
          </cell>
          <cell r="W194">
            <v>100</v>
          </cell>
          <cell r="X194">
            <v>50</v>
          </cell>
          <cell r="Y194">
            <v>1300</v>
          </cell>
          <cell r="Z194">
            <v>650</v>
          </cell>
          <cell r="AA194">
            <v>1300</v>
          </cell>
          <cell r="AB194">
            <v>650</v>
          </cell>
          <cell r="AC194">
            <v>850</v>
          </cell>
          <cell r="AD194">
            <v>425</v>
          </cell>
        </row>
        <row r="195">
          <cell r="A195" t="str">
            <v>1104521D490</v>
          </cell>
          <cell r="B195" t="str">
            <v>Trace 4</v>
          </cell>
          <cell r="C195" t="str">
            <v>TRACE</v>
          </cell>
          <cell r="D195" t="str">
            <v>TRACE</v>
          </cell>
          <cell r="E195" t="str">
            <v>DYNAMIC CUSHION</v>
          </cell>
          <cell r="F195" t="str">
            <v>mens</v>
          </cell>
          <cell r="G195" t="str">
            <v>110452</v>
          </cell>
          <cell r="H195" t="str">
            <v>1D</v>
          </cell>
          <cell r="I195" t="str">
            <v>490</v>
          </cell>
          <cell r="J195" t="str">
            <v>490 Navy/Peacoat/Acid Lime</v>
          </cell>
          <cell r="K195" t="str">
            <v>New Color</v>
          </cell>
          <cell r="L195">
            <v>45809</v>
          </cell>
          <cell r="M195">
            <v>45992</v>
          </cell>
        </row>
        <row r="195">
          <cell r="O195" t="str">
            <v>Inline</v>
          </cell>
        </row>
        <row r="195">
          <cell r="Q195" t="str">
            <v>F2025</v>
          </cell>
          <cell r="R195" t="str">
            <v>7-13, 14, 15</v>
          </cell>
          <cell r="S195">
            <v>110</v>
          </cell>
          <cell r="T195">
            <v>55</v>
          </cell>
          <cell r="U195">
            <v>150</v>
          </cell>
          <cell r="V195">
            <v>75</v>
          </cell>
          <cell r="W195">
            <v>100</v>
          </cell>
          <cell r="X195">
            <v>50</v>
          </cell>
          <cell r="Y195">
            <v>1300</v>
          </cell>
          <cell r="Z195">
            <v>650</v>
          </cell>
          <cell r="AA195">
            <v>1300</v>
          </cell>
          <cell r="AB195">
            <v>650</v>
          </cell>
          <cell r="AC195">
            <v>850</v>
          </cell>
          <cell r="AD195">
            <v>425</v>
          </cell>
        </row>
        <row r="196">
          <cell r="A196" t="str">
            <v>1204411B090</v>
          </cell>
          <cell r="B196" t="str">
            <v>Trace 4</v>
          </cell>
          <cell r="C196" t="str">
            <v>TRACE</v>
          </cell>
          <cell r="D196" t="str">
            <v>TRACE</v>
          </cell>
          <cell r="E196" t="str">
            <v>DYNAMIC CUSHION</v>
          </cell>
          <cell r="F196" t="str">
            <v>womens</v>
          </cell>
          <cell r="G196" t="str">
            <v>120441</v>
          </cell>
          <cell r="H196" t="str">
            <v>1B</v>
          </cell>
          <cell r="I196" t="str">
            <v>090</v>
          </cell>
          <cell r="J196" t="str">
            <v>090 Black/Grey/White</v>
          </cell>
          <cell r="K196" t="str">
            <v>Carry Over</v>
          </cell>
          <cell r="L196">
            <v>45809</v>
          </cell>
          <cell r="M196">
            <v>45992</v>
          </cell>
        </row>
        <row r="196">
          <cell r="O196" t="str">
            <v>Inline</v>
          </cell>
        </row>
        <row r="196">
          <cell r="Q196" t="str">
            <v>F2025</v>
          </cell>
          <cell r="R196" t="str">
            <v>5-12</v>
          </cell>
          <cell r="S196">
            <v>110</v>
          </cell>
          <cell r="T196">
            <v>55</v>
          </cell>
          <cell r="U196">
            <v>150</v>
          </cell>
          <cell r="V196">
            <v>75</v>
          </cell>
          <cell r="W196">
            <v>100</v>
          </cell>
          <cell r="X196">
            <v>50</v>
          </cell>
          <cell r="Y196">
            <v>1300</v>
          </cell>
          <cell r="Z196">
            <v>650</v>
          </cell>
          <cell r="AA196">
            <v>1300</v>
          </cell>
          <cell r="AB196">
            <v>650</v>
          </cell>
          <cell r="AC196">
            <v>850</v>
          </cell>
          <cell r="AD196">
            <v>425</v>
          </cell>
        </row>
        <row r="197">
          <cell r="A197" t="str">
            <v>1204411B192</v>
          </cell>
          <cell r="B197" t="str">
            <v>Trace 4</v>
          </cell>
          <cell r="C197" t="str">
            <v>TRACE</v>
          </cell>
          <cell r="D197" t="str">
            <v>TRACE</v>
          </cell>
          <cell r="E197" t="str">
            <v>DYNAMIC CUSHION</v>
          </cell>
          <cell r="F197" t="str">
            <v>womens</v>
          </cell>
          <cell r="G197" t="str">
            <v>120441</v>
          </cell>
          <cell r="H197" t="str">
            <v>1B</v>
          </cell>
          <cell r="I197" t="str">
            <v>192</v>
          </cell>
          <cell r="J197" t="str">
            <v>192 White/Oyster/Rose</v>
          </cell>
          <cell r="K197" t="str">
            <v>New Color</v>
          </cell>
          <cell r="L197">
            <v>45809</v>
          </cell>
          <cell r="M197">
            <v>45992</v>
          </cell>
        </row>
        <row r="197">
          <cell r="O197" t="str">
            <v>Inline</v>
          </cell>
        </row>
        <row r="197">
          <cell r="Q197" t="str">
            <v>F2025</v>
          </cell>
          <cell r="R197" t="str">
            <v>5-12</v>
          </cell>
          <cell r="S197">
            <v>110</v>
          </cell>
          <cell r="T197">
            <v>55</v>
          </cell>
          <cell r="U197">
            <v>150</v>
          </cell>
          <cell r="V197">
            <v>75</v>
          </cell>
          <cell r="W197">
            <v>100</v>
          </cell>
          <cell r="X197">
            <v>50</v>
          </cell>
          <cell r="Y197">
            <v>1300</v>
          </cell>
          <cell r="Z197">
            <v>650</v>
          </cell>
          <cell r="AA197">
            <v>1300</v>
          </cell>
          <cell r="AB197">
            <v>650</v>
          </cell>
          <cell r="AC197">
            <v>850</v>
          </cell>
          <cell r="AD197">
            <v>425</v>
          </cell>
        </row>
        <row r="198">
          <cell r="A198" t="str">
            <v>1204411B480</v>
          </cell>
          <cell r="B198" t="str">
            <v>Trace 4</v>
          </cell>
          <cell r="C198" t="str">
            <v>TRACE</v>
          </cell>
          <cell r="D198" t="str">
            <v>TRACE</v>
          </cell>
          <cell r="E198" t="str">
            <v>DYNAMIC CUSHION</v>
          </cell>
          <cell r="F198" t="str">
            <v>womens</v>
          </cell>
          <cell r="G198" t="str">
            <v>120441</v>
          </cell>
          <cell r="H198" t="str">
            <v>1B</v>
          </cell>
          <cell r="I198" t="str">
            <v>480</v>
          </cell>
          <cell r="J198" t="str">
            <v>480 Navy/Apricot/Peacoat</v>
          </cell>
          <cell r="K198" t="str">
            <v>New Color</v>
          </cell>
          <cell r="L198">
            <v>45809</v>
          </cell>
          <cell r="M198">
            <v>45992</v>
          </cell>
        </row>
        <row r="198">
          <cell r="O198" t="str">
            <v>Inline</v>
          </cell>
        </row>
        <row r="198">
          <cell r="Q198" t="str">
            <v>F2025</v>
          </cell>
          <cell r="R198" t="str">
            <v>5-12</v>
          </cell>
          <cell r="S198">
            <v>110</v>
          </cell>
          <cell r="T198">
            <v>55</v>
          </cell>
          <cell r="U198">
            <v>150</v>
          </cell>
          <cell r="V198">
            <v>75</v>
          </cell>
          <cell r="W198">
            <v>100</v>
          </cell>
          <cell r="X198">
            <v>50</v>
          </cell>
          <cell r="Y198">
            <v>1300</v>
          </cell>
          <cell r="Z198">
            <v>650</v>
          </cell>
          <cell r="AA198">
            <v>1300</v>
          </cell>
          <cell r="AB198">
            <v>650</v>
          </cell>
          <cell r="AC198">
            <v>850</v>
          </cell>
          <cell r="AD198">
            <v>425</v>
          </cell>
        </row>
        <row r="199">
          <cell r="A199" t="str">
            <v>1103891D001</v>
          </cell>
          <cell r="B199" t="str">
            <v>Zeal Walker</v>
          </cell>
          <cell r="C199" t="str">
            <v>ZEAL WALKER</v>
          </cell>
          <cell r="D199" t="str">
            <v>ZEAL WALKER</v>
          </cell>
          <cell r="E199" t="str">
            <v>WALKING</v>
          </cell>
          <cell r="F199" t="str">
            <v>mens</v>
          </cell>
          <cell r="G199" t="str">
            <v>110389</v>
          </cell>
          <cell r="H199" t="str">
            <v>1D</v>
          </cell>
          <cell r="I199" t="str">
            <v>001</v>
          </cell>
          <cell r="J199" t="str">
            <v>001 Black</v>
          </cell>
          <cell r="K199" t="str">
            <v>Carry Over</v>
          </cell>
          <cell r="L199">
            <v>45809</v>
          </cell>
          <cell r="M199">
            <v>47484</v>
          </cell>
        </row>
        <row r="199">
          <cell r="O199" t="str">
            <v>Inline</v>
          </cell>
        </row>
        <row r="199">
          <cell r="Q199" t="str">
            <v>F2025</v>
          </cell>
          <cell r="R199" t="str">
            <v>7-13, 14, 15</v>
          </cell>
          <cell r="S199">
            <v>140</v>
          </cell>
          <cell r="T199">
            <v>70</v>
          </cell>
          <cell r="U199">
            <v>200</v>
          </cell>
          <cell r="V199">
            <v>100</v>
          </cell>
          <cell r="W199">
            <v>120</v>
          </cell>
          <cell r="X199">
            <v>60</v>
          </cell>
          <cell r="Y199">
            <v>1600</v>
          </cell>
          <cell r="Z199">
            <v>800</v>
          </cell>
          <cell r="AA199">
            <v>1600</v>
          </cell>
          <cell r="AB199">
            <v>800</v>
          </cell>
          <cell r="AC199">
            <v>1200</v>
          </cell>
          <cell r="AD199">
            <v>600</v>
          </cell>
        </row>
        <row r="200">
          <cell r="A200" t="str">
            <v>1103891D172</v>
          </cell>
          <cell r="B200" t="str">
            <v>Zeal Walker</v>
          </cell>
          <cell r="C200" t="str">
            <v>ZEAL WALKER</v>
          </cell>
          <cell r="D200" t="str">
            <v>ZEAL WALKER</v>
          </cell>
          <cell r="E200" t="str">
            <v>WALKING</v>
          </cell>
          <cell r="F200" t="str">
            <v>mens</v>
          </cell>
          <cell r="G200" t="str">
            <v>110389</v>
          </cell>
          <cell r="H200" t="str">
            <v>1D</v>
          </cell>
          <cell r="I200" t="str">
            <v>172</v>
          </cell>
          <cell r="J200" t="str">
            <v>172 Oyster/Alloy/Ebony</v>
          </cell>
          <cell r="K200" t="str">
            <v>New Color</v>
          </cell>
          <cell r="L200">
            <v>45839</v>
          </cell>
          <cell r="M200">
            <v>47484</v>
          </cell>
        </row>
        <row r="200">
          <cell r="O200" t="str">
            <v>Inline</v>
          </cell>
        </row>
        <row r="200">
          <cell r="Q200" t="str">
            <v>F2025</v>
          </cell>
          <cell r="R200" t="str">
            <v>7-13, 14, 15</v>
          </cell>
          <cell r="S200">
            <v>140</v>
          </cell>
          <cell r="T200">
            <v>70</v>
          </cell>
          <cell r="U200">
            <v>200</v>
          </cell>
          <cell r="V200">
            <v>100</v>
          </cell>
          <cell r="W200">
            <v>120</v>
          </cell>
          <cell r="X200">
            <v>60</v>
          </cell>
          <cell r="Y200">
            <v>1600</v>
          </cell>
          <cell r="Z200">
            <v>800</v>
          </cell>
          <cell r="AA200">
            <v>1600</v>
          </cell>
          <cell r="AB200">
            <v>800</v>
          </cell>
          <cell r="AC200">
            <v>1200</v>
          </cell>
          <cell r="AD200">
            <v>600</v>
          </cell>
        </row>
        <row r="201">
          <cell r="A201" t="str">
            <v>1203761B001</v>
          </cell>
          <cell r="B201" t="str">
            <v>Zeal Walker</v>
          </cell>
          <cell r="C201" t="str">
            <v>ZEAL WALKER</v>
          </cell>
          <cell r="D201" t="str">
            <v>ZEAL WALKER</v>
          </cell>
          <cell r="E201" t="str">
            <v>WALKING</v>
          </cell>
          <cell r="F201" t="str">
            <v>womens</v>
          </cell>
          <cell r="G201" t="str">
            <v>120376</v>
          </cell>
          <cell r="H201" t="str">
            <v>1B</v>
          </cell>
          <cell r="I201" t="str">
            <v>001</v>
          </cell>
          <cell r="J201" t="str">
            <v>001 Black</v>
          </cell>
          <cell r="K201" t="str">
            <v>Carry Over</v>
          </cell>
          <cell r="L201">
            <v>45809</v>
          </cell>
          <cell r="M201">
            <v>47484</v>
          </cell>
        </row>
        <row r="201">
          <cell r="O201" t="str">
            <v>Inline</v>
          </cell>
        </row>
        <row r="201">
          <cell r="Q201" t="str">
            <v>F2025</v>
          </cell>
          <cell r="R201" t="str">
            <v>5-12</v>
          </cell>
          <cell r="S201">
            <v>140</v>
          </cell>
          <cell r="T201">
            <v>70</v>
          </cell>
          <cell r="U201">
            <v>200</v>
          </cell>
          <cell r="V201">
            <v>100</v>
          </cell>
          <cell r="W201">
            <v>120</v>
          </cell>
          <cell r="X201">
            <v>60</v>
          </cell>
          <cell r="Y201">
            <v>1600</v>
          </cell>
          <cell r="Z201">
            <v>800</v>
          </cell>
          <cell r="AA201">
            <v>1600</v>
          </cell>
          <cell r="AB201">
            <v>800</v>
          </cell>
          <cell r="AC201">
            <v>1200</v>
          </cell>
          <cell r="AD201">
            <v>600</v>
          </cell>
        </row>
        <row r="202">
          <cell r="A202" t="str">
            <v>1203761B210</v>
          </cell>
          <cell r="B202" t="str">
            <v>Zeal Walker</v>
          </cell>
          <cell r="C202" t="str">
            <v>ZEAL WALKER</v>
          </cell>
          <cell r="D202" t="str">
            <v>ZEAL WALKER</v>
          </cell>
          <cell r="E202" t="str">
            <v>WALKING</v>
          </cell>
          <cell r="F202" t="str">
            <v>womens</v>
          </cell>
          <cell r="G202" t="str">
            <v>120376</v>
          </cell>
          <cell r="H202" t="str">
            <v>1B</v>
          </cell>
          <cell r="I202" t="str">
            <v>210</v>
          </cell>
          <cell r="J202" t="str">
            <v>210 Angora/Coconut/Milk</v>
          </cell>
          <cell r="K202" t="str">
            <v>New Color</v>
          </cell>
          <cell r="L202">
            <v>45839</v>
          </cell>
          <cell r="M202">
            <v>47484</v>
          </cell>
        </row>
        <row r="202">
          <cell r="O202" t="str">
            <v>Inline</v>
          </cell>
        </row>
        <row r="202">
          <cell r="Q202" t="str">
            <v>F2025</v>
          </cell>
          <cell r="R202" t="str">
            <v>5-12</v>
          </cell>
          <cell r="S202">
            <v>140</v>
          </cell>
          <cell r="T202">
            <v>70</v>
          </cell>
          <cell r="U202">
            <v>200</v>
          </cell>
          <cell r="V202">
            <v>100</v>
          </cell>
          <cell r="W202">
            <v>120</v>
          </cell>
          <cell r="X202">
            <v>60</v>
          </cell>
          <cell r="Y202">
            <v>1600</v>
          </cell>
          <cell r="Z202">
            <v>800</v>
          </cell>
          <cell r="AA202">
            <v>1600</v>
          </cell>
          <cell r="AB202">
            <v>800</v>
          </cell>
          <cell r="AC202">
            <v>1200</v>
          </cell>
          <cell r="AD202">
            <v>600</v>
          </cell>
        </row>
        <row r="203">
          <cell r="A203" t="str">
            <v>1104421D023</v>
          </cell>
          <cell r="B203" t="str">
            <v>Ghost 17</v>
          </cell>
          <cell r="C203" t="str">
            <v>GHOST</v>
          </cell>
          <cell r="D203" t="str">
            <v>GHOST</v>
          </cell>
          <cell r="E203" t="str">
            <v>DYNAMIC CUSHION</v>
          </cell>
          <cell r="F203" t="str">
            <v>mens</v>
          </cell>
          <cell r="G203" t="str">
            <v>110442</v>
          </cell>
          <cell r="H203" t="str">
            <v>1D</v>
          </cell>
          <cell r="I203" t="str">
            <v>023</v>
          </cell>
          <cell r="J203" t="str">
            <v>023 Black/Orange</v>
          </cell>
          <cell r="K203" t="str">
            <v>New</v>
          </cell>
          <cell r="L203">
            <v>45901</v>
          </cell>
          <cell r="M203">
            <v>46174</v>
          </cell>
        </row>
        <row r="203">
          <cell r="O203" t="str">
            <v>MRA</v>
          </cell>
          <cell r="P203" t="str">
            <v>Run Visible</v>
          </cell>
          <cell r="Q203" t="str">
            <v>F2025</v>
          </cell>
          <cell r="R203" t="str">
            <v>7-13, 14, 15</v>
          </cell>
          <cell r="S203">
            <v>150</v>
          </cell>
          <cell r="T203">
            <v>75</v>
          </cell>
          <cell r="U203">
            <v>200</v>
          </cell>
          <cell r="V203">
            <v>100</v>
          </cell>
          <cell r="W203">
            <v>135</v>
          </cell>
          <cell r="X203">
            <v>67.5</v>
          </cell>
          <cell r="Y203">
            <v>1800</v>
          </cell>
          <cell r="Z203">
            <v>900</v>
          </cell>
          <cell r="AA203">
            <v>1900</v>
          </cell>
          <cell r="AB203">
            <v>950</v>
          </cell>
          <cell r="AC203">
            <v>1350</v>
          </cell>
          <cell r="AD203">
            <v>675</v>
          </cell>
        </row>
        <row r="204">
          <cell r="A204" t="str">
            <v>1204311B023</v>
          </cell>
          <cell r="B204" t="str">
            <v>Ghost 17</v>
          </cell>
          <cell r="C204" t="str">
            <v>GHOST</v>
          </cell>
          <cell r="D204" t="str">
            <v>GHOST</v>
          </cell>
          <cell r="E204" t="str">
            <v>DYNAMIC CUSHION</v>
          </cell>
          <cell r="F204" t="str">
            <v>womens</v>
          </cell>
          <cell r="G204" t="str">
            <v>120431</v>
          </cell>
          <cell r="H204" t="str">
            <v>1B</v>
          </cell>
          <cell r="I204" t="str">
            <v>023</v>
          </cell>
          <cell r="J204" t="str">
            <v>023 Black/Orange</v>
          </cell>
          <cell r="K204" t="str">
            <v>New</v>
          </cell>
          <cell r="L204">
            <v>45901</v>
          </cell>
          <cell r="M204">
            <v>46174</v>
          </cell>
        </row>
        <row r="204">
          <cell r="O204" t="str">
            <v>MRA</v>
          </cell>
          <cell r="P204" t="str">
            <v>Run Visible</v>
          </cell>
          <cell r="Q204" t="str">
            <v>F2025</v>
          </cell>
          <cell r="R204" t="str">
            <v>5-12, 13</v>
          </cell>
          <cell r="S204">
            <v>150</v>
          </cell>
          <cell r="T204">
            <v>75</v>
          </cell>
          <cell r="U204">
            <v>200</v>
          </cell>
          <cell r="V204">
            <v>100</v>
          </cell>
          <cell r="W204">
            <v>135</v>
          </cell>
          <cell r="X204">
            <v>67.5</v>
          </cell>
          <cell r="Y204">
            <v>1800</v>
          </cell>
          <cell r="Z204">
            <v>900</v>
          </cell>
          <cell r="AA204">
            <v>1900</v>
          </cell>
          <cell r="AB204">
            <v>950</v>
          </cell>
          <cell r="AC204">
            <v>1350</v>
          </cell>
          <cell r="AD204">
            <v>675</v>
          </cell>
        </row>
        <row r="205">
          <cell r="A205" t="str">
            <v>1104451D023</v>
          </cell>
          <cell r="B205" t="str">
            <v>Glycerin 22</v>
          </cell>
          <cell r="C205" t="str">
            <v>GLYCERIN</v>
          </cell>
          <cell r="D205" t="str">
            <v>GLYCERIN</v>
          </cell>
          <cell r="E205" t="str">
            <v>DYNAMIC CUSHION</v>
          </cell>
          <cell r="F205" t="str">
            <v>mens</v>
          </cell>
          <cell r="G205" t="str">
            <v>110445</v>
          </cell>
          <cell r="H205" t="str">
            <v>1D</v>
          </cell>
          <cell r="I205" t="str">
            <v>023</v>
          </cell>
          <cell r="J205" t="str">
            <v>023 Black/Orange</v>
          </cell>
          <cell r="K205" t="str">
            <v>New Color</v>
          </cell>
          <cell r="L205">
            <v>45901</v>
          </cell>
          <cell r="M205">
            <v>46023</v>
          </cell>
        </row>
        <row r="205">
          <cell r="O205" t="str">
            <v>MRA</v>
          </cell>
          <cell r="P205" t="str">
            <v>Run Visible</v>
          </cell>
          <cell r="Q205" t="str">
            <v>F2025</v>
          </cell>
          <cell r="R205" t="str">
            <v>7-13, 14, 15</v>
          </cell>
          <cell r="S205">
            <v>180</v>
          </cell>
          <cell r="T205">
            <v>90</v>
          </cell>
          <cell r="U205">
            <v>230</v>
          </cell>
          <cell r="V205">
            <v>115</v>
          </cell>
          <cell r="W205">
            <v>165</v>
          </cell>
          <cell r="X205">
            <v>82.5</v>
          </cell>
          <cell r="Y205">
            <v>2200</v>
          </cell>
          <cell r="Z205">
            <v>1100</v>
          </cell>
          <cell r="AA205">
            <v>2200</v>
          </cell>
          <cell r="AB205">
            <v>1100</v>
          </cell>
          <cell r="AC205">
            <v>1550</v>
          </cell>
          <cell r="AD205">
            <v>775</v>
          </cell>
        </row>
        <row r="206">
          <cell r="A206" t="str">
            <v>1204341B023</v>
          </cell>
          <cell r="B206" t="str">
            <v>Glycerin 22</v>
          </cell>
          <cell r="C206" t="str">
            <v>GLYCERIN</v>
          </cell>
          <cell r="D206" t="str">
            <v>GLYCERIN</v>
          </cell>
          <cell r="E206" t="str">
            <v>DYNAMIC CUSHION</v>
          </cell>
          <cell r="F206" t="str">
            <v>womens</v>
          </cell>
          <cell r="G206" t="str">
            <v>120434</v>
          </cell>
          <cell r="H206" t="str">
            <v>1B</v>
          </cell>
          <cell r="I206" t="str">
            <v>023</v>
          </cell>
          <cell r="J206" t="str">
            <v>023 Black/Orange</v>
          </cell>
          <cell r="K206" t="str">
            <v>New Color</v>
          </cell>
          <cell r="L206">
            <v>45901</v>
          </cell>
          <cell r="M206">
            <v>46023</v>
          </cell>
        </row>
        <row r="206">
          <cell r="O206" t="str">
            <v>MRA</v>
          </cell>
          <cell r="P206" t="str">
            <v>Run Visible</v>
          </cell>
          <cell r="Q206" t="str">
            <v>F2025</v>
          </cell>
          <cell r="R206" t="str">
            <v>5-12</v>
          </cell>
          <cell r="S206">
            <v>180</v>
          </cell>
          <cell r="T206">
            <v>90</v>
          </cell>
          <cell r="U206">
            <v>230</v>
          </cell>
          <cell r="V206">
            <v>115</v>
          </cell>
          <cell r="W206">
            <v>165</v>
          </cell>
          <cell r="X206">
            <v>82.5</v>
          </cell>
          <cell r="Y206">
            <v>2200</v>
          </cell>
          <cell r="Z206">
            <v>1100</v>
          </cell>
          <cell r="AA206">
            <v>2200</v>
          </cell>
          <cell r="AB206">
            <v>1100</v>
          </cell>
          <cell r="AC206">
            <v>1550</v>
          </cell>
          <cell r="AD206">
            <v>775</v>
          </cell>
        </row>
        <row r="207">
          <cell r="A207" t="str">
            <v>1000381D129</v>
          </cell>
          <cell r="B207" t="str">
            <v>Draft XC Spikeless</v>
          </cell>
          <cell r="C207" t="str">
            <v>DRAFT XC SPIKELESS</v>
          </cell>
          <cell r="D207" t="str">
            <v>DRAFT SPIKELESS</v>
          </cell>
          <cell r="E207" t="str">
            <v>PERFORMANCE CUSHION</v>
          </cell>
          <cell r="F207" t="str">
            <v>unisex</v>
          </cell>
          <cell r="G207">
            <v>100038</v>
          </cell>
          <cell r="H207" t="str">
            <v>1D</v>
          </cell>
          <cell r="I207">
            <v>129</v>
          </cell>
          <cell r="J207" t="str">
            <v>129 White/Black/Nightlife</v>
          </cell>
          <cell r="K207" t="str">
            <v>Carryover</v>
          </cell>
          <cell r="L207">
            <v>45809</v>
          </cell>
          <cell r="M207">
            <v>46357</v>
          </cell>
        </row>
        <row r="207">
          <cell r="O207" t="str">
            <v>Inline</v>
          </cell>
        </row>
        <row r="207">
          <cell r="Q207" t="str">
            <v>F2025</v>
          </cell>
          <cell r="R207" t="str">
            <v>4-13</v>
          </cell>
          <cell r="S207" t="str">
            <v>80,00 €</v>
          </cell>
          <cell r="T207" t="str">
            <v>40,00 €</v>
          </cell>
          <cell r="U207" t="str">
            <v>120,00 CHF</v>
          </cell>
          <cell r="V207" t="str">
            <v>60,00 CHF</v>
          </cell>
          <cell r="W207" t="str">
            <v>£70,00</v>
          </cell>
          <cell r="X207" t="str">
            <v>£35,00</v>
          </cell>
          <cell r="Y207" t="str">
            <v>1.000,00 SEK</v>
          </cell>
          <cell r="Z207" t="str">
            <v>500,00 SEK</v>
          </cell>
          <cell r="AA207" t="str">
            <v>1.000,00 NOK</v>
          </cell>
          <cell r="AB207" t="str">
            <v>500,00 NOK</v>
          </cell>
          <cell r="AC207" t="str">
            <v>800,00 DKK</v>
          </cell>
          <cell r="AD207" t="str">
            <v>400,00 DKK</v>
          </cell>
        </row>
        <row r="208">
          <cell r="A208" t="str">
            <v>1000391D129</v>
          </cell>
          <cell r="B208" t="str">
            <v>Draft XC</v>
          </cell>
          <cell r="C208" t="str">
            <v>DRAFT</v>
          </cell>
          <cell r="D208" t="str">
            <v>DRAFT XC</v>
          </cell>
          <cell r="E208" t="str">
            <v>PERFORMANCE CUSHION</v>
          </cell>
          <cell r="F208" t="str">
            <v>unisex</v>
          </cell>
          <cell r="G208">
            <v>100039</v>
          </cell>
          <cell r="H208" t="str">
            <v>1D</v>
          </cell>
          <cell r="I208">
            <v>129</v>
          </cell>
          <cell r="J208" t="str">
            <v>129 White/Black/Nightlife</v>
          </cell>
          <cell r="K208" t="str">
            <v>Carryover</v>
          </cell>
          <cell r="L208">
            <v>45809</v>
          </cell>
          <cell r="M208">
            <v>46357</v>
          </cell>
        </row>
        <row r="208">
          <cell r="O208" t="str">
            <v>Inline</v>
          </cell>
        </row>
        <row r="208">
          <cell r="Q208" t="str">
            <v>F2025</v>
          </cell>
          <cell r="R208" t="str">
            <v>4-13</v>
          </cell>
          <cell r="S208" t="str">
            <v>80,00 €</v>
          </cell>
          <cell r="T208" t="str">
            <v>40,00 €</v>
          </cell>
          <cell r="U208" t="str">
            <v>120,00 CHF</v>
          </cell>
          <cell r="V208" t="str">
            <v>60,00 CHF</v>
          </cell>
          <cell r="W208" t="str">
            <v>£70,00</v>
          </cell>
          <cell r="X208" t="str">
            <v>£35,00</v>
          </cell>
          <cell r="Y208" t="str">
            <v>1.000,00 SEK</v>
          </cell>
          <cell r="Z208" t="str">
            <v>500,00 SEK</v>
          </cell>
          <cell r="AA208" t="str">
            <v>1.000,00 NOK</v>
          </cell>
          <cell r="AB208" t="str">
            <v>500,00 NOK</v>
          </cell>
          <cell r="AC208" t="str">
            <v>800,00 DKK</v>
          </cell>
          <cell r="AD208" t="str">
            <v>400,00 DKK</v>
          </cell>
        </row>
      </sheetData>
      <sheetData sheetId="1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2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cols>
    <col collapsed="false" customWidth="true" hidden="false" outlineLevel="0" max="1" min="1" style="0" width="12.9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2.8" hidden="false" customHeight="false" outlineLevel="0" collapsed="false">
      <c r="A2" s="1" t="s">
        <v>30</v>
      </c>
      <c r="B2" s="1" t="s">
        <v>31</v>
      </c>
      <c r="C2" s="1" t="s">
        <v>32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O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1" t="s">
        <v>53</v>
      </c>
      <c r="AB2" s="1" t="s">
        <v>54</v>
      </c>
      <c r="AC2" s="1" t="s">
        <v>55</v>
      </c>
      <c r="AD2" s="1" t="s">
        <v>56</v>
      </c>
    </row>
    <row r="3" customFormat="false" ht="12.8" hidden="false" customHeight="false" outlineLevel="0" collapsed="false">
      <c r="A3" s="1" t="s">
        <v>57</v>
      </c>
      <c r="B3" s="1" t="s">
        <v>31</v>
      </c>
      <c r="C3" s="1" t="s">
        <v>32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58</v>
      </c>
      <c r="I3" s="1" t="s">
        <v>37</v>
      </c>
      <c r="J3" s="1" t="s">
        <v>38</v>
      </c>
      <c r="K3" s="1" t="s">
        <v>39</v>
      </c>
      <c r="L3" s="1" t="s">
        <v>40</v>
      </c>
      <c r="M3" s="1" t="s">
        <v>41</v>
      </c>
      <c r="O3" s="1" t="s">
        <v>42</v>
      </c>
      <c r="Q3" s="1" t="s">
        <v>43</v>
      </c>
      <c r="R3" s="1" t="s">
        <v>44</v>
      </c>
      <c r="S3" s="1" t="s">
        <v>45</v>
      </c>
      <c r="T3" s="1" t="s">
        <v>46</v>
      </c>
      <c r="U3" s="1" t="s">
        <v>47</v>
      </c>
      <c r="V3" s="1" t="s">
        <v>48</v>
      </c>
      <c r="W3" s="1" t="s">
        <v>49</v>
      </c>
      <c r="X3" s="1" t="s">
        <v>50</v>
      </c>
      <c r="Y3" s="1" t="s">
        <v>51</v>
      </c>
      <c r="Z3" s="1" t="s">
        <v>52</v>
      </c>
      <c r="AA3" s="1" t="s">
        <v>53</v>
      </c>
      <c r="AB3" s="1" t="s">
        <v>54</v>
      </c>
      <c r="AC3" s="1" t="s">
        <v>55</v>
      </c>
      <c r="AD3" s="1" t="s">
        <v>56</v>
      </c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O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O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O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O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O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O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O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O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O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O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O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O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O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O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O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O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O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O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O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O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O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O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O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O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O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O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O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O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O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O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O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O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O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O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O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O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O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O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O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O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O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O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O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O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O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O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O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O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O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O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O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O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O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O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O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O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O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O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O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O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O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O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O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O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O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O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O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O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O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O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O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O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O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O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O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O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O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O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O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O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O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O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O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O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O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O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O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O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O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O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O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O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O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O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O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O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O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O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O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O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O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O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O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O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O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O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O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O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O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O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O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O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O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O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O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O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O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O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O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O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O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O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O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O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O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O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O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O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O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O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O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O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O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O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O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O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O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O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O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O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O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O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O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O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O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O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O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O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O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O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O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O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O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O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O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O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O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O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O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O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O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O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O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O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O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O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O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O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O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O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O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O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O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O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O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O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O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O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O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O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O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O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O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O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O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O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O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O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O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O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O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O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O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O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O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O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customFormat="false" ht="1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O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customFormat="false" ht="1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O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customFormat="false" ht="1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customFormat="false" ht="1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customFormat="false" ht="1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customFormat="false" ht="1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customFormat="false" ht="1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O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customFormat="false" ht="1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O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5234375" defaultRowHeight="12.8" zeroHeight="false" outlineLevelRow="0" outlineLevelCol="0"/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2.8" hidden="false" customHeight="false" outlineLevel="0" collapsed="false">
      <c r="A2" s="1" t="s">
        <v>59</v>
      </c>
      <c r="B2" s="1" t="s">
        <v>60</v>
      </c>
      <c r="C2" s="1" t="s">
        <v>61</v>
      </c>
      <c r="D2" s="1" t="s">
        <v>62</v>
      </c>
      <c r="E2" s="1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  <c r="K2" s="1" t="s">
        <v>69</v>
      </c>
      <c r="L2" s="1" t="s">
        <v>70</v>
      </c>
      <c r="M2" s="1" t="s">
        <v>71</v>
      </c>
      <c r="N2" s="1" t="s">
        <v>72</v>
      </c>
      <c r="O2" s="1" t="s">
        <v>73</v>
      </c>
      <c r="P2" s="1" t="s">
        <v>74</v>
      </c>
      <c r="Q2" s="1" t="s">
        <v>75</v>
      </c>
      <c r="R2" s="1" t="s">
        <v>76</v>
      </c>
      <c r="S2" s="1" t="s">
        <v>77</v>
      </c>
      <c r="T2" s="1" t="s">
        <v>78</v>
      </c>
      <c r="U2" s="1" t="s">
        <v>79</v>
      </c>
      <c r="V2" s="1" t="s">
        <v>80</v>
      </c>
      <c r="W2" s="1" t="s">
        <v>81</v>
      </c>
    </row>
    <row r="3" customFormat="false" ht="12.75" hidden="false" customHeight="true" outlineLevel="0" collapsed="false">
      <c r="A3" s="2" t="s">
        <v>82</v>
      </c>
      <c r="B3" s="2" t="n">
        <v>8469</v>
      </c>
      <c r="C3" s="2" t="s">
        <v>83</v>
      </c>
      <c r="D3" s="3" t="s">
        <v>84</v>
      </c>
      <c r="E3" s="4" t="s">
        <v>85</v>
      </c>
      <c r="F3" s="4" t="s">
        <v>86</v>
      </c>
      <c r="G3" s="4" t="s">
        <v>87</v>
      </c>
      <c r="H3" s="5" t="n">
        <v>37.5</v>
      </c>
      <c r="I3" s="4" t="s">
        <v>88</v>
      </c>
      <c r="J3" s="4" t="s">
        <v>89</v>
      </c>
      <c r="K3" s="2" t="str">
        <f aca="false">0&amp;L3</f>
        <v>0195394690217</v>
      </c>
      <c r="L3" s="2" t="s">
        <v>90</v>
      </c>
      <c r="M3" s="2" t="s">
        <v>91</v>
      </c>
      <c r="N3" s="2"/>
      <c r="O3" s="5" t="s">
        <v>92</v>
      </c>
      <c r="P3" s="6" t="n">
        <f aca="false">VLOOKUP(A3,[1]Pricelist!$A$2:$AD$208,19,FALSE())</f>
        <v>275</v>
      </c>
      <c r="Q3" s="6" t="n">
        <f aca="false">VLOOKUP(A3,[1]Pricelist!$A$2:$AD$208,20,FALSE())</f>
        <v>137.5</v>
      </c>
      <c r="R3" s="7" t="n">
        <v>1.04</v>
      </c>
      <c r="S3" s="8" t="n">
        <f aca="false">R3*0.45359237</f>
        <v>0.4717360648</v>
      </c>
      <c r="T3" s="7" t="n">
        <v>0.59</v>
      </c>
      <c r="U3" s="8" t="n">
        <f aca="false">T3*0.45359237</f>
        <v>0.2676194983</v>
      </c>
      <c r="V3" s="7" t="n">
        <v>0.198</v>
      </c>
      <c r="W3" s="8" t="n">
        <f aca="false">V3*16.3871</f>
        <v>3.2446458</v>
      </c>
    </row>
    <row r="4" customFormat="false" ht="12.75" hidden="false" customHeight="true" outlineLevel="0" collapsed="false">
      <c r="A4" s="2" t="s">
        <v>93</v>
      </c>
      <c r="B4" s="2" t="n">
        <v>12829</v>
      </c>
      <c r="C4" s="2" t="s">
        <v>94</v>
      </c>
      <c r="D4" s="3" t="s">
        <v>95</v>
      </c>
      <c r="E4" s="4" t="s">
        <v>96</v>
      </c>
      <c r="F4" s="4" t="s">
        <v>97</v>
      </c>
      <c r="G4" s="4" t="s">
        <v>87</v>
      </c>
      <c r="H4" s="4" t="n">
        <v>35.5</v>
      </c>
      <c r="I4" s="4" t="s">
        <v>98</v>
      </c>
      <c r="J4" s="4" t="s">
        <v>89</v>
      </c>
      <c r="K4" s="2" t="str">
        <f aca="false">0&amp;L4</f>
        <v>0195394534245</v>
      </c>
      <c r="L4" s="2" t="s">
        <v>99</v>
      </c>
      <c r="M4" s="2" t="s">
        <v>91</v>
      </c>
      <c r="N4" s="2" t="n">
        <v>346062</v>
      </c>
      <c r="O4" s="5" t="s">
        <v>92</v>
      </c>
      <c r="P4" s="6" t="n">
        <f aca="false">VLOOKUP(A4,[1]Pricelist!$A$2:$AD$208,19,FALSE())</f>
        <v>150</v>
      </c>
      <c r="Q4" s="6" t="n">
        <f aca="false">VLOOKUP(A4,[1]Pricelist!$A$2:$AD$208,20,FALSE())</f>
        <v>75</v>
      </c>
      <c r="R4" s="7" t="n">
        <v>1.155</v>
      </c>
      <c r="S4" s="8" t="n">
        <f aca="false">R4*0.45359237</f>
        <v>0.52389918735</v>
      </c>
      <c r="T4" s="7" t="n">
        <v>0.705</v>
      </c>
      <c r="U4" s="8" t="n">
        <f aca="false">T4*0.45359237</f>
        <v>0.31978262085</v>
      </c>
      <c r="V4" s="7" t="n">
        <v>0.174</v>
      </c>
      <c r="W4" s="8" t="n">
        <f aca="false">V4*16.3871</f>
        <v>2.8513554</v>
      </c>
    </row>
    <row r="5" customFormat="false" ht="15.75" hidden="false" customHeight="true" outlineLevel="0" collapsed="false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  <c r="M5" s="11"/>
      <c r="N5" s="11"/>
      <c r="O5" s="10"/>
      <c r="P5" s="10"/>
      <c r="Q5" s="10"/>
      <c r="R5" s="10"/>
      <c r="S5" s="12"/>
      <c r="T5" s="12"/>
      <c r="U5" s="13"/>
      <c r="V5" s="13"/>
      <c r="W5" s="14"/>
      <c r="X5" s="14"/>
      <c r="Y5" s="15"/>
      <c r="Z5" s="15"/>
      <c r="AA5" s="16"/>
      <c r="AB5" s="16"/>
      <c r="AC5" s="17"/>
      <c r="AD5" s="17"/>
    </row>
  </sheetData>
  <conditionalFormatting sqref="A5">
    <cfRule type="expression" priority="2" aboveAverage="0" equalAverage="0" bottom="0" percent="0" rank="0" text="" dxfId="0">
      <formula>$W5="Dropped"</formula>
    </cfRule>
  </conditionalFormatting>
  <conditionalFormatting sqref="B5:F5 J5">
    <cfRule type="expression" priority="3" aboveAverage="0" equalAverage="0" bottom="0" percent="0" rank="0" text="" dxfId="1">
      <formula>$X5="Dropped"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2025-05-29T12:32:47Z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